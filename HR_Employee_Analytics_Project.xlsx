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nexusdigital\Downloads\"/>
    </mc:Choice>
  </mc:AlternateContent>
  <xr:revisionPtr revIDLastSave="0" documentId="13_ncr:1_{75A4F5EF-0D23-454F-A36E-BAE5A94E3B15}" xr6:coauthVersionLast="47" xr6:coauthVersionMax="47" xr10:uidLastSave="{00000000-0000-0000-0000-000000000000}"/>
  <bookViews>
    <workbookView xWindow="-110" yWindow="-110" windowWidth="19420" windowHeight="12420" activeTab="4" xr2:uid="{00000000-000D-0000-FFFF-FFFF00000000}"/>
  </bookViews>
  <sheets>
    <sheet name="Data" sheetId="1" r:id="rId1"/>
    <sheet name="HR Analysis" sheetId="2" r:id="rId2"/>
    <sheet name="Pivot" sheetId="3" r:id="rId3"/>
    <sheet name="KPI" sheetId="4" r:id="rId4"/>
    <sheet name="Insights" sheetId="5" r:id="rId5"/>
    <sheet name="Dashboard" sheetId="6" r:id="rId6"/>
  </sheets>
  <definedNames>
    <definedName name="_xlnm._FilterDatabase" localSheetId="0" hidden="1">Data!$A$1:$M$301</definedName>
    <definedName name="Slicer_Department">#N/A</definedName>
    <definedName name="Slicer_Overti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 i="4" l="1"/>
  <c r="B7" i="4"/>
  <c r="B5" i="4"/>
  <c r="G5" i="6" s="1"/>
  <c r="B4" i="4"/>
  <c r="D5" i="6"/>
  <c r="B22" i="2"/>
  <c r="B21" i="2"/>
  <c r="B17" i="2"/>
  <c r="B16" i="2"/>
  <c r="B15" i="2"/>
  <c r="B2" i="2"/>
  <c r="B6" i="4"/>
  <c r="J5" i="6" s="1"/>
  <c r="B3" i="4"/>
  <c r="A5" i="6" s="1"/>
  <c r="B34" i="2"/>
  <c r="B33" i="2"/>
  <c r="B32" i="2"/>
  <c r="B31" i="2"/>
  <c r="B30" i="2"/>
  <c r="B29" i="2"/>
  <c r="B28" i="2"/>
  <c r="B27" i="2"/>
  <c r="B14" i="2"/>
  <c r="B26" i="2"/>
  <c r="B24" i="2"/>
  <c r="B25" i="2"/>
  <c r="B23" i="2"/>
  <c r="B20" i="2"/>
  <c r="B19" i="2"/>
  <c r="B18" i="2"/>
  <c r="B13" i="2"/>
  <c r="B12" i="2"/>
  <c r="B11" i="2"/>
  <c r="B10" i="2"/>
  <c r="B9" i="2"/>
  <c r="B8" i="2"/>
  <c r="B7" i="2"/>
  <c r="B6" i="2"/>
  <c r="B5" i="2"/>
  <c r="B4" i="2"/>
  <c r="B3" i="2"/>
</calcChain>
</file>

<file path=xl/sharedStrings.xml><?xml version="1.0" encoding="utf-8"?>
<sst xmlns="http://schemas.openxmlformats.org/spreadsheetml/2006/main" count="1941" uniqueCount="413">
  <si>
    <t>Employee ID</t>
  </si>
  <si>
    <t>Age</t>
  </si>
  <si>
    <t>Gender</t>
  </si>
  <si>
    <t>Department</t>
  </si>
  <si>
    <t>Education</t>
  </si>
  <si>
    <t>Years of Experience</t>
  </si>
  <si>
    <t>Annual Salary</t>
  </si>
  <si>
    <t>Job Satisfaction (1-5)</t>
  </si>
  <si>
    <t>Performance Rating (1-5)</t>
  </si>
  <si>
    <t>Overtime</t>
  </si>
  <si>
    <t>Absence Days</t>
  </si>
  <si>
    <t>Training Hours</t>
  </si>
  <si>
    <t>Left Company</t>
  </si>
  <si>
    <t>E001</t>
  </si>
  <si>
    <t>Female</t>
  </si>
  <si>
    <t>IT</t>
  </si>
  <si>
    <t>Master</t>
  </si>
  <si>
    <t>No</t>
  </si>
  <si>
    <t>E002</t>
  </si>
  <si>
    <t>Male</t>
  </si>
  <si>
    <t>Operations</t>
  </si>
  <si>
    <t>Bachelor</t>
  </si>
  <si>
    <t>E003</t>
  </si>
  <si>
    <t>Marketing</t>
  </si>
  <si>
    <t>E004</t>
  </si>
  <si>
    <t>Sales</t>
  </si>
  <si>
    <t>E005</t>
  </si>
  <si>
    <t>Finance</t>
  </si>
  <si>
    <t>E006</t>
  </si>
  <si>
    <t>E007</t>
  </si>
  <si>
    <t>HR</t>
  </si>
  <si>
    <t>High School</t>
  </si>
  <si>
    <t>Yes</t>
  </si>
  <si>
    <t>E008</t>
  </si>
  <si>
    <t>E009</t>
  </si>
  <si>
    <t>E010</t>
  </si>
  <si>
    <t>E011</t>
  </si>
  <si>
    <t>E012</t>
  </si>
  <si>
    <t>E013</t>
  </si>
  <si>
    <t>E014</t>
  </si>
  <si>
    <t>E015</t>
  </si>
  <si>
    <t>PhD</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</si>
  <si>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</si>
  <si>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</si>
  <si>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</si>
  <si>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</si>
  <si>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</si>
  <si>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</si>
  <si>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</si>
  <si>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</si>
  <si>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</si>
  <si>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</si>
  <si>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</si>
  <si>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</si>
  <si>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</si>
  <si>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</si>
  <si>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</si>
  <si>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</si>
  <si>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</si>
  <si>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</si>
  <si>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</si>
  <si>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</si>
  <si>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</si>
  <si>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</si>
  <si>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</si>
  <si>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</si>
  <si>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</si>
  <si>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</si>
  <si>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</si>
  <si>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</si>
  <si>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</si>
  <si>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</si>
  <si>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</si>
  <si>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</si>
  <si>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</si>
  <si>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</si>
  <si>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</si>
  <si>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</si>
  <si>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</si>
  <si>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</si>
  <si>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</si>
  <si>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</si>
  <si>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</si>
  <si>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</si>
  <si>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</si>
  <si>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</si>
  <si>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</si>
  <si>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</si>
  <si>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</si>
  <si>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</si>
  <si>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</si>
  <si>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</si>
  <si>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</si>
  <si>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</si>
  <si>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</si>
  <si>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</si>
  <si>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</si>
  <si>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</si>
  <si>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</si>
  <si>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</si>
  <si>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</si>
  <si>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</si>
  <si>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</si>
  <si>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</si>
  <si>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</si>
  <si>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</si>
  <si>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</si>
  <si>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</si>
  <si>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</si>
  <si>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</si>
  <si>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</si>
  <si>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</si>
  <si>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</si>
  <si>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</si>
  <si>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</si>
  <si>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</si>
  <si>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</si>
  <si>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</si>
  <si>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</si>
  <si>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</si>
  <si>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</si>
  <si>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</si>
  <si>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</si>
  <si>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</si>
  <si>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</si>
  <si>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</si>
  <si>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</si>
  <si>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</si>
  <si>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</si>
  <si>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</si>
  <si>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</si>
  <si>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</si>
  <si>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</si>
  <si>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</si>
  <si>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</si>
  <si>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</si>
  <si>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</si>
  <si>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</si>
  <si>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</si>
  <si>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</si>
  <si>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</si>
  <si>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</si>
  <si>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</si>
  <si>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</si>
  <si>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</si>
  <si>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</si>
  <si>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</si>
  <si>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</si>
  <si>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</si>
  <si>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</si>
  <si>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</si>
  <si>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</si>
  <si>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</si>
  <si>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</si>
  <si>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</si>
  <si>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</si>
  <si>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</si>
  <si>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</si>
  <si>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</si>
  <si>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</si>
  <si>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</si>
  <si>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</si>
  <si>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</si>
  <si>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</si>
  <si>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</si>
  <si>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</si>
  <si>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</si>
  <si>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</si>
  <si>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</si>
  <si>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</si>
  <si>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</si>
  <si>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</si>
  <si>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</si>
  <si>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</si>
  <si>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</si>
  <si>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</si>
  <si>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</si>
  <si>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</si>
  <si>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</si>
  <si>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</si>
  <si>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</si>
  <si>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</si>
  <si>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</si>
  <si>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</si>
  <si>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</si>
  <si>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</si>
  <si>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</si>
  <si>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</si>
  <si>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</si>
  <si>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</si>
  <si>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</si>
  <si>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</si>
  <si>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</si>
  <si>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</si>
  <si>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</si>
  <si>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</si>
  <si>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</si>
  <si>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</si>
  <si>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</si>
  <si>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</si>
  <si>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</si>
  <si>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</si>
  <si>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</si>
  <si>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</si>
  <si>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</si>
  <si>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</si>
  <si>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</si>
  <si>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</si>
  <si>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</si>
  <si>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</si>
  <si>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</si>
  <si>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</si>
  <si>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</si>
  <si>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</si>
  <si>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</si>
  <si>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</si>
  <si>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</si>
  <si>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</si>
  <si>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</si>
  <si>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</si>
  <si>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</si>
  <si>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</si>
  <si>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</si>
  <si>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</si>
  <si>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</si>
  <si>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</si>
  <si>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</si>
  <si>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</si>
  <si>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</si>
  <si>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</si>
  <si>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</si>
  <si>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</si>
  <si>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</si>
  <si>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</si>
  <si>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</si>
  <si>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</si>
  <si>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</si>
  <si>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</si>
  <si>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</si>
  <si>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</si>
  <si>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</si>
  <si>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</si>
  <si>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</si>
  <si>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</si>
  <si>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</si>
  <si>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</si>
  <si>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</si>
  <si>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</si>
  <si>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</si>
  <si>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</si>
  <si>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</si>
  <si>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</si>
  <si>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</si>
  <si>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</si>
  <si>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</si>
  <si>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</si>
  <si>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</si>
  <si>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</si>
  <si>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</si>
  <si>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</si>
  <si>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</si>
  <si>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</si>
  <si>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</si>
  <si>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</si>
  <si>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</si>
  <si>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</si>
  <si>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</si>
  <si>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</si>
  <si>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</si>
  <si>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</si>
  <si>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</si>
  <si>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</si>
  <si>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</si>
  <si>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</si>
  <si>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</si>
  <si>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</si>
  <si>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</si>
  <si>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</si>
  <si>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</si>
  <si>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</si>
  <si>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</si>
  <si>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</si>
  <si>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</si>
  <si>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</si>
  <si>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</si>
  <si>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</si>
  <si>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</si>
  <si>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</si>
  <si>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</si>
  <si>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</si>
  <si>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</si>
  <si>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</si>
  <si>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</si>
  <si>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</si>
  <si>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</si>
  <si>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</si>
  <si>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</si>
  <si>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</si>
  <si>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</si>
  <si>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</si>
  <si>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</si>
  <si>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</si>
  <si>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</si>
  <si>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</si>
  <si>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</si>
  <si>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</si>
  <si>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</si>
  <si>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</si>
  <si>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</si>
  <si>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</si>
  <si>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</si>
  <si>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</si>
  <si>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</si>
  <si>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</si>
  <si>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</si>
  <si>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</si>
  <si>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</si>
  <si>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</si>
  <si>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</si>
  <si>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</si>
  <si>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</si>
  <si>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</si>
  <si>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</si>
  <si>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</si>
  <si>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</si>
  <si>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</si>
  <si>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</si>
  <si>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Formula</t>
  </si>
  <si>
    <t>Result</t>
  </si>
  <si>
    <t>Analysis/Metric</t>
  </si>
  <si>
    <t>Number of IT Employees Working Overtime</t>
  </si>
  <si>
    <r>
      <t>Number of Employees Working Overtime with Low Job Satisfaction(</t>
    </r>
    <r>
      <rPr>
        <sz val="11"/>
        <color theme="1"/>
        <rFont val="Aptos Narrow"/>
        <family val="2"/>
      </rPr>
      <t>≤</t>
    </r>
    <r>
      <rPr>
        <sz val="11"/>
        <color theme="1"/>
        <rFont val="Times New Roman"/>
        <family val="1"/>
      </rPr>
      <t>2)</t>
    </r>
  </si>
  <si>
    <r>
      <t>Number of Sales Employees with Low Job Satisfaction(</t>
    </r>
    <r>
      <rPr>
        <sz val="11"/>
        <color theme="1"/>
        <rFont val="Aptos Narrow"/>
        <family val="2"/>
      </rPr>
      <t>≤</t>
    </r>
    <r>
      <rPr>
        <sz val="11"/>
        <color theme="1"/>
        <rFont val="Times New Roman"/>
        <family val="1"/>
      </rPr>
      <t>2)</t>
    </r>
  </si>
  <si>
    <t>Total Salary of IT Employees</t>
  </si>
  <si>
    <t xml:space="preserve">Total Salary of Employees Working Overtime </t>
  </si>
  <si>
    <r>
      <t>Total Salary of Sales Employees with Low Job Satisfaction(</t>
    </r>
    <r>
      <rPr>
        <sz val="11"/>
        <color theme="1"/>
        <rFont val="Aptos Narrow"/>
        <family val="2"/>
      </rPr>
      <t>≤</t>
    </r>
    <r>
      <rPr>
        <sz val="11"/>
        <color theme="1"/>
        <rFont val="Times New Roman"/>
        <family val="1"/>
      </rPr>
      <t>2)</t>
    </r>
  </si>
  <si>
    <t>Average Salary of IT Employees</t>
  </si>
  <si>
    <t xml:space="preserve">Average Job Satisfaction of Employees Working Overtime </t>
  </si>
  <si>
    <r>
      <t>Average Performance Rating of Sales Employees with Low Job Satisfaction(</t>
    </r>
    <r>
      <rPr>
        <sz val="11"/>
        <color theme="1"/>
        <rFont val="Aptos Narrow"/>
        <family val="2"/>
      </rPr>
      <t>≤</t>
    </r>
    <r>
      <rPr>
        <sz val="11"/>
        <color theme="1"/>
        <rFont val="Times New Roman"/>
        <family val="1"/>
      </rPr>
      <t>2)</t>
    </r>
  </si>
  <si>
    <t>Total Number of Employees</t>
  </si>
  <si>
    <t>Employee Attrition Rate</t>
  </si>
  <si>
    <t>Overtime Rate</t>
  </si>
  <si>
    <r>
      <t>Low Job Satisfaction Rate(</t>
    </r>
    <r>
      <rPr>
        <sz val="11"/>
        <color theme="1"/>
        <rFont val="Aptos Narrow"/>
        <family val="2"/>
      </rPr>
      <t>≤</t>
    </r>
    <r>
      <rPr>
        <sz val="11"/>
        <color theme="1"/>
        <rFont val="Times New Roman"/>
        <family val="1"/>
      </rPr>
      <t>2)</t>
    </r>
  </si>
  <si>
    <r>
      <t>Average Salary of High-Performance Employees(4</t>
    </r>
    <r>
      <rPr>
        <sz val="11"/>
        <color theme="1"/>
        <rFont val="Aptos Narrow"/>
        <family val="2"/>
      </rPr>
      <t>≥</t>
    </r>
    <r>
      <rPr>
        <sz val="11"/>
        <color theme="1"/>
        <rFont val="Times New Roman"/>
        <family val="1"/>
      </rPr>
      <t>)</t>
    </r>
  </si>
  <si>
    <t>Average Job Satisfaction of High-Performance Employees(4≥)</t>
  </si>
  <si>
    <t>Number of Employees with High-Performance(4≥) and Overtime</t>
  </si>
  <si>
    <t>Attrition Rate Among Overtime Employees</t>
  </si>
  <si>
    <t>Attrition Rate Among Non-Overtime Employees</t>
  </si>
  <si>
    <t>Average Salary of Employees Who Left the Company</t>
  </si>
  <si>
    <t>Average Salary of Employees Who Stayed with the Company</t>
  </si>
  <si>
    <t>Average Absence Days of Employees Who Left the Company</t>
  </si>
  <si>
    <t>Average Training Hours of Employees Who Left the Company</t>
  </si>
  <si>
    <t>Average Salary of All Employees</t>
  </si>
  <si>
    <t xml:space="preserve">Average Salary of Employees Working Overtime </t>
  </si>
  <si>
    <r>
      <t>Average Salary of Sales Employees with Low Job Satisfaction(</t>
    </r>
    <r>
      <rPr>
        <sz val="11"/>
        <color theme="1"/>
        <rFont val="Aptos Narrow"/>
        <family val="2"/>
      </rPr>
      <t>≤</t>
    </r>
    <r>
      <rPr>
        <sz val="11"/>
        <color theme="1"/>
        <rFont val="Times New Roman"/>
        <family val="1"/>
      </rPr>
      <t>2)</t>
    </r>
  </si>
  <si>
    <t>Average Salary of Non-Overtime Employees</t>
  </si>
  <si>
    <t>Average Job Satisfaction of Non-Overtime Employees</t>
  </si>
  <si>
    <t>Average Performance Rating of Overtime Employees</t>
  </si>
  <si>
    <t>Average Performance Rating of Non-Overtime Employees</t>
  </si>
  <si>
    <t>Average Absence Days of Overtime Employees</t>
  </si>
  <si>
    <t>Average Absence Days of Non-Overtime Employees</t>
  </si>
  <si>
    <t>Average Training Hours of Overtime Employees</t>
  </si>
  <si>
    <t>Average Training Hours of Non-Overtime Employees</t>
  </si>
  <si>
    <t>Row Labels</t>
  </si>
  <si>
    <t>Count of Employee ID</t>
  </si>
  <si>
    <t>Average of Annual Salary</t>
  </si>
  <si>
    <t>Average of Job Satisfaction (1-5)</t>
  </si>
  <si>
    <t>Count of Left Company</t>
  </si>
  <si>
    <t>Column Labels</t>
  </si>
  <si>
    <t>HR KPI Analysis</t>
  </si>
  <si>
    <t>Total Employees</t>
  </si>
  <si>
    <t>Attrition Rate</t>
  </si>
  <si>
    <t>Average Annual Salary</t>
  </si>
  <si>
    <t>Low Job Satisfaction Rate</t>
  </si>
  <si>
    <t>Average Job Satisfaction</t>
  </si>
  <si>
    <t>Key Human Resources Performance Indicators</t>
  </si>
  <si>
    <t>HR Area</t>
  </si>
  <si>
    <t>Key Finding</t>
  </si>
  <si>
    <t>HR Recommendation</t>
  </si>
  <si>
    <t>Employee Attrition</t>
  </si>
  <si>
    <t>Overtime &amp; Attrition</t>
  </si>
  <si>
    <t>Job Satisfaction</t>
  </si>
  <si>
    <t>Employee Performance</t>
  </si>
  <si>
    <t>Employee Training</t>
  </si>
  <si>
    <t>Salary Analysis</t>
  </si>
  <si>
    <t>Departmental Attrition</t>
  </si>
  <si>
    <t>Monitor attrition trends and investigate employees' reasons for leaving.</t>
  </si>
  <si>
    <t>37% of employees work overtime.</t>
  </si>
  <si>
    <t>Review overtime patterns and workload distribution across departments.</t>
  </si>
  <si>
    <t>Attrition rate is 9.91% among overtime employees vs. 5.82% among non-overtime employees.</t>
  </si>
  <si>
    <t>Examine workload, scheduling, and employee well-being among overtime employees.</t>
  </si>
  <si>
    <t>24.33% of employees have a job satisfaction score of 2 or lower.</t>
  </si>
  <si>
    <t>Investigate the main drivers of low job satisfaction and develop targeted improvements.</t>
  </si>
  <si>
    <t>Average performance rating is 3.61 among overtime employees and 3.53 among non-overtime employees.</t>
  </si>
  <si>
    <t>Evaluate performance alongside workload,well-being, and job demands.</t>
  </si>
  <si>
    <t>Average training hours are 24.53 among overtime employees and 25.14 among non-overtime employees.</t>
  </si>
  <si>
    <t>Assess whether training opportunities align with employees' roles and development needs.</t>
  </si>
  <si>
    <t>Average annual salary is approximately $78,254.</t>
  </si>
  <si>
    <t>Review salary distribution across departments, experience levels, and performance groups.</t>
  </si>
  <si>
    <t>Finance has 6 departures, the highest count among the departments in this dataset.</t>
  </si>
  <si>
    <t>Review Finance-specific retention patterns and investigate possible contributing factors.</t>
  </si>
  <si>
    <t>HR Employee Analytics Dashboard</t>
  </si>
  <si>
    <t>Workforce Overview &amp; Key HR Metrics</t>
  </si>
  <si>
    <t>Finance Retention Risk</t>
  </si>
  <si>
    <t>Conduct targeted exit interviews in Finance, review workload during financial close cycles, and implement retention initiatives.</t>
  </si>
  <si>
    <t>Overtime Burnout Impact</t>
  </si>
  <si>
    <t>Rebalance workload allocation, set limits on continuous overtime, and monitor mental health and burnout risk.</t>
  </si>
  <si>
    <t>Pay-for-performance Alignment</t>
  </si>
  <si>
    <t>Restructure the compensation model to reward high performers and mitigate flight risk among critical talent.</t>
  </si>
  <si>
    <t>Overall attrition is 7.33% (22 out of 300 employees)</t>
  </si>
  <si>
    <t>Finance has the highest attrition rate at 14.29% (6 out of 42 employees), nearly double the company average of 7.33%.</t>
  </si>
  <si>
    <t>Employees working overtime experience a 70% higher attrition rate (9.91% vs. 5.82% for non-overtime employees).</t>
  </si>
  <si>
    <r>
      <t>High performers (rating</t>
    </r>
    <r>
      <rPr>
        <sz val="11"/>
        <color theme="1"/>
        <rFont val="Aptos Narrow"/>
        <family val="2"/>
      </rPr>
      <t>≥</t>
    </r>
    <r>
      <rPr>
        <sz val="11"/>
        <color theme="1"/>
        <rFont val="Times New Roman"/>
        <family val="1"/>
      </rPr>
      <t>4) earn an average of $76,571, which is lower than the company average ($78,254), suggesting salary may be more correlated with tenure than merit; further regression analysis is recommended.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</si>
</sst>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9" x14ac:knownFonts="1">
    <font>
      <sz val="11"/>
      <color theme="1"/>
      <name val="Calibri"/>
      <family val="2"/>
      <scheme val="minor"/>
    </font>
    <font>
      <sz val="11"/>
      <color theme="1"/>
      <name val="Calibri"/>
      <family val="2"/>
      <scheme val="minor"/>
    </font>
    <font>
      <b/>
      <sz val="11"/>
      <name val="Times New Roman"/>
      <family val="1"/>
    </font>
    <font>
      <sz val="11"/>
      <color theme="1"/>
      <name val="Times New Roman"/>
      <family val="1"/>
    </font>
    <font>
      <sz val="11"/>
      <color theme="1"/>
      <name val="Aptos Narrow"/>
      <family val="2"/>
    </font>
    <font>
      <b/>
      <sz val="11"/>
      <color theme="1"/>
      <name val="Times New Roman"/>
      <family val="1"/>
    </font>
    <font>
      <b/>
      <sz val="12"/>
      <color theme="1"/>
      <name val="Times New Roman"/>
      <family val="1"/>
    </font>
    <font>
      <b/>
      <sz val="18"/>
      <color theme="1"/>
      <name val="Times New Roman"/>
      <family val="1"/>
    </font>
    <font>
      <sz val="16"/>
      <color theme="1"/>
      <name val="Times New Roman"/>
      <family val="1"/>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1" fontId="0" fillId="0" borderId="0" xfId="0" applyNumberFormat="1" applyAlignment="1">
      <alignment horizontal="center" vertical="top"/>
    </xf>
    <xf numFmtId="1" fontId="0" fillId="0" borderId="0" xfId="0" applyNumberFormat="1" applyAlignment="1">
      <alignment vertical="top"/>
    </xf>
    <xf numFmtId="1" fontId="0" fillId="0" borderId="0" xfId="0" applyNumberFormat="1"/>
    <xf numFmtId="49" fontId="0" fillId="0" borderId="0" xfId="0" applyNumberFormat="1" applyAlignment="1">
      <alignment vertical="top"/>
    </xf>
    <xf numFmtId="49" fontId="0" fillId="0" borderId="0" xfId="0" applyNumberFormat="1"/>
    <xf numFmtId="49" fontId="0" fillId="0" borderId="0" xfId="0" applyNumberFormat="1" applyAlignment="1">
      <alignment horizontal="center" vertical="top"/>
    </xf>
    <xf numFmtId="44" fontId="0" fillId="0" borderId="0" xfId="1" applyFont="1" applyAlignment="1">
      <alignment horizontal="center" vertical="top"/>
    </xf>
    <xf numFmtId="44" fontId="0" fillId="0" borderId="0" xfId="1" applyFont="1" applyAlignment="1">
      <alignment vertical="top"/>
    </xf>
    <xf numFmtId="44" fontId="0" fillId="0" borderId="0" xfId="1" applyFont="1"/>
    <xf numFmtId="0" fontId="3" fillId="0" borderId="0" xfId="0" applyFont="1" applyAlignment="1">
      <alignment horizontal="center" vertical="center"/>
    </xf>
    <xf numFmtId="0" fontId="5" fillId="0" borderId="0" xfId="0" applyFont="1" applyAlignment="1">
      <alignment horizontal="center" vertical="center"/>
    </xf>
    <xf numFmtId="2" fontId="3" fillId="0" borderId="0" xfId="0" applyNumberFormat="1" applyFont="1" applyAlignment="1">
      <alignment horizontal="center" vertical="center"/>
    </xf>
    <xf numFmtId="1" fontId="3" fillId="0" borderId="0" xfId="0" applyNumberFormat="1" applyFont="1" applyAlignment="1">
      <alignment horizontal="center" vertical="center"/>
    </xf>
    <xf numFmtId="164" fontId="3" fillId="0" borderId="0" xfId="0" applyNumberFormat="1" applyFont="1" applyAlignment="1">
      <alignment horizontal="center" vertical="center"/>
    </xf>
    <xf numFmtId="164" fontId="3" fillId="0" borderId="0" xfId="1" applyNumberFormat="1" applyFont="1" applyAlignment="1">
      <alignment horizontal="center" vertical="center"/>
    </xf>
    <xf numFmtId="10" fontId="3" fillId="0" borderId="0" xfId="0" applyNumberFormat="1" applyFont="1" applyAlignment="1">
      <alignment horizontal="center" vertical="center"/>
    </xf>
    <xf numFmtId="0" fontId="3" fillId="0" borderId="0" xfId="0" applyNumberFormat="1" applyFont="1" applyAlignment="1">
      <alignment horizontal="center" vertical="center"/>
    </xf>
    <xf numFmtId="0" fontId="0" fillId="0" borderId="0" xfId="0" applyAlignment="1">
      <alignment horizontal="center" vertical="center"/>
    </xf>
    <xf numFmtId="0" fontId="3" fillId="0" borderId="0" xfId="0" applyFont="1"/>
    <xf numFmtId="0" fontId="3" fillId="0" borderId="0" xfId="0" pivotButton="1" applyFont="1" applyAlignment="1">
      <alignment horizontal="center" vertical="center"/>
    </xf>
    <xf numFmtId="0" fontId="3" fillId="0" borderId="0" xfId="0" applyFont="1" applyAlignment="1">
      <alignment horizontal="left" vertical="center" wrapText="1"/>
    </xf>
    <xf numFmtId="0" fontId="5" fillId="2" borderId="0" xfId="0" applyFont="1" applyFill="1" applyAlignment="1">
      <alignment horizontal="center"/>
    </xf>
    <xf numFmtId="0" fontId="0" fillId="2" borderId="0" xfId="0" applyFill="1"/>
    <xf numFmtId="0" fontId="5" fillId="2" borderId="0" xfId="0" applyFont="1" applyFill="1"/>
    <xf numFmtId="10" fontId="8" fillId="2" borderId="0" xfId="0" quotePrefix="1" applyNumberFormat="1" applyFont="1" applyFill="1" applyAlignment="1">
      <alignment horizontal="center"/>
    </xf>
    <xf numFmtId="164" fontId="8" fillId="2" borderId="0" xfId="0" applyNumberFormat="1" applyFont="1" applyFill="1" applyAlignment="1">
      <alignment horizontal="center"/>
    </xf>
    <xf numFmtId="0" fontId="8" fillId="2" borderId="0" xfId="0" applyFont="1" applyFill="1" applyAlignment="1">
      <alignment horizontal="center" vertical="center"/>
    </xf>
    <xf numFmtId="49" fontId="3" fillId="0" borderId="0" xfId="2" applyNumberFormat="1" applyFont="1" applyAlignment="1">
      <alignment horizontal="center" vertical="center"/>
    </xf>
    <xf numFmtId="0" fontId="0" fillId="0" borderId="0" xfId="0" applyAlignment="1"/>
    <xf numFmtId="49"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44" fontId="2" fillId="0" borderId="1" xfId="1" applyFont="1" applyBorder="1" applyAlignment="1">
      <alignment horizontal="center" vertical="center"/>
    </xf>
    <xf numFmtId="49" fontId="3" fillId="0" borderId="0" xfId="0" applyNumberFormat="1" applyFont="1" applyAlignment="1">
      <alignment horizontal="center" vertical="center"/>
    </xf>
    <xf numFmtId="44" fontId="3" fillId="0" borderId="0" xfId="1"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7"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3" fillId="0" borderId="0" xfId="0" applyFont="1" applyAlignment="1">
      <alignment horizontal="center"/>
    </xf>
  </cellXfs>
  <cellStyles count="3">
    <cellStyle name="Currency" xfId="1" builtinId="4"/>
    <cellStyle name="Normal" xfId="0" builtinId="0"/>
    <cellStyle name="Percent" xfId="2" builtinId="5"/>
  </cellStyles>
  <dxfs count="225">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quot;$&quo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quot;$&quot;#,##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family val="1"/>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center" vertical="center" textRotation="0" wrapText="0" indent="0" justifyLastLine="0" shrinkToFit="0" readingOrder="0"/>
    </dxf>
    <dxf>
      <border outline="0">
        <top style="thin">
          <color auto="1"/>
        </top>
      </border>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Times New Roman"/>
        <family val="1"/>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[HR_Employee_Analytics_Project.xlsx]Pivot!PivotTable1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Employee Count</a:t>
            </a:r>
            <a:r>
              <a:rPr lang="en-US" baseline="0">
                <a:latin typeface="Times New Roman" panose="02020603050405020304" pitchFamily="18" charset="0"/>
                <a:cs typeface="Times New Roman" panose="02020603050405020304" pitchFamily="18" charset="0"/>
              </a:rPr>
              <a:t> by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Pivot!$A$2:$A$7</c:f>
              <c:strCache>
                <c:ptCount val="6"/>
                <c:pt idx="0">
                  <c:v>Finance</c:v>
                </c:pt>
                <c:pt idx="1">
                  <c:v>HR</c:v>
                </c:pt>
                <c:pt idx="2">
                  <c:v>IT</c:v>
                </c:pt>
                <c:pt idx="3">
                  <c:v>Marketing</c:v>
                </c:pt>
                <c:pt idx="4">
                  <c:v>Operations</c:v>
                </c:pt>
                <c:pt idx="5">
                  <c:v>Sales</c:v>
                </c:pt>
              </c:strCache>
            </c:strRef>
          </c:cat>
          <c:val>
            <c:numRef>
              <c:f>Pivot!$B$2:$B$7</c:f>
              <c:numCache>
                <c:formatCode>0</c:formatCode>
                <c:ptCount val="6"/>
                <c:pt idx="0">
                  <c:v>42</c:v>
                </c:pt>
                <c:pt idx="1">
                  <c:v>41</c:v>
                </c:pt>
                <c:pt idx="2">
                  <c:v>52</c:v>
                </c:pt>
                <c:pt idx="3">
                  <c:v>33</c:v>
                </c:pt>
                <c:pt idx="4">
                  <c:v>75</c:v>
                </c:pt>
                <c:pt idx="5">
                  <c:v>57</c:v>
                </c:pt>
              </c:numCache>
            </c:numRef>
          </c:val>
          <c:extLst>
            <c:ext xmlns:c16="http://schemas.microsoft.com/office/drawing/2014/chart" uri="{C3380CC4-5D6E-409C-BE32-E72D297353CC}">
              <c16:uniqueId val="{00000000-20CB-4CD4-98C9-3C163F91D749}"/>
            </c:ext>
          </c:extLst>
        </c:ser>
        <c:dLbls>
          <c:dLblPos val="outEnd"/>
          <c:showLegendKey val="0"/>
          <c:showVal val="1"/>
          <c:showCatName val="0"/>
          <c:showSerName val="0"/>
          <c:showPercent val="0"/>
          <c:showBubbleSize val="0"/>
        </c:dLbls>
        <c:gapWidth val="219"/>
        <c:overlap val="-27"/>
        <c:axId val="297285936"/>
        <c:axId val="297284016"/>
      </c:barChart>
      <c:catAx>
        <c:axId val="2972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7284016"/>
        <c:crosses val="autoZero"/>
        <c:auto val="1"/>
        <c:lblAlgn val="ctr"/>
        <c:lblOffset val="100"/>
        <c:noMultiLvlLbl val="0"/>
      </c:catAx>
      <c:valAx>
        <c:axId val="29728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728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[HR_Employee_Analytics_Project.xlsx]Pivot!PivotTable2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Average Annual Salary</a:t>
            </a:r>
            <a:r>
              <a:rPr lang="en-US" baseline="0">
                <a:latin typeface="Times New Roman" panose="02020603050405020304" pitchFamily="18" charset="0"/>
                <a:cs typeface="Times New Roman" panose="02020603050405020304" pitchFamily="18" charset="0"/>
              </a:rPr>
              <a:t> by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Pivot!$D$2:$D$7</c:f>
              <c:strCache>
                <c:ptCount val="6"/>
                <c:pt idx="0">
                  <c:v>Finance</c:v>
                </c:pt>
                <c:pt idx="1">
                  <c:v>HR</c:v>
                </c:pt>
                <c:pt idx="2">
                  <c:v>IT</c:v>
                </c:pt>
                <c:pt idx="3">
                  <c:v>Marketing</c:v>
                </c:pt>
                <c:pt idx="4">
                  <c:v>Operations</c:v>
                </c:pt>
                <c:pt idx="5">
                  <c:v>Sales</c:v>
                </c:pt>
              </c:strCache>
            </c:strRef>
          </c:cat>
          <c:val>
            <c:numRef>
              <c:f>Pivot!$E$2:$E$7</c:f>
              <c:numCache>
                <c:formatCode>"$"#,##0</c:formatCode>
                <c:ptCount val="6"/>
                <c:pt idx="0">
                  <c:v>75076.190476190473</c:v>
                </c:pt>
                <c:pt idx="1">
                  <c:v>75465.85365853658</c:v>
                </c:pt>
                <c:pt idx="2">
                  <c:v>81996.153846153844</c:v>
                </c:pt>
                <c:pt idx="3">
                  <c:v>81512.121212121216</c:v>
                </c:pt>
                <c:pt idx="4">
                  <c:v>73781.333333333328</c:v>
                </c:pt>
                <c:pt idx="5">
                  <c:v>83184.210526315786</c:v>
                </c:pt>
              </c:numCache>
            </c:numRef>
          </c:val>
          <c:extLst>
            <c:ext xmlns:c16="http://schemas.microsoft.com/office/drawing/2014/chart" uri="{C3380CC4-5D6E-409C-BE32-E72D297353CC}">
              <c16:uniqueId val="{00000000-54CB-45DD-A2DF-A3E8D48D6316}"/>
            </c:ext>
          </c:extLst>
        </c:ser>
        <c:dLbls>
          <c:dLblPos val="outEnd"/>
          <c:showLegendKey val="0"/>
          <c:showVal val="1"/>
          <c:showCatName val="0"/>
          <c:showSerName val="0"/>
          <c:showPercent val="0"/>
          <c:showBubbleSize val="0"/>
        </c:dLbls>
        <c:gapWidth val="219"/>
        <c:overlap val="-27"/>
        <c:axId val="297090848"/>
        <c:axId val="297087488"/>
      </c:barChart>
      <c:catAx>
        <c:axId val="29709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7087488"/>
        <c:crosses val="autoZero"/>
        <c:auto val="1"/>
        <c:lblAlgn val="ctr"/>
        <c:lblOffset val="100"/>
        <c:noMultiLvlLbl val="0"/>
      </c:catAx>
      <c:valAx>
        <c:axId val="297087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709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[HR_Employee_Analytics_Project.xlsx]Pivot!PivotTable13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Average Job Satisfaction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Pivot!$G$2:$G$7</c:f>
              <c:strCache>
                <c:ptCount val="6"/>
                <c:pt idx="0">
                  <c:v>Finance</c:v>
                </c:pt>
                <c:pt idx="1">
                  <c:v>HR</c:v>
                </c:pt>
                <c:pt idx="2">
                  <c:v>IT</c:v>
                </c:pt>
                <c:pt idx="3">
                  <c:v>Marketing</c:v>
                </c:pt>
                <c:pt idx="4">
                  <c:v>Operations</c:v>
                </c:pt>
                <c:pt idx="5">
                  <c:v>Sales</c:v>
                </c:pt>
              </c:strCache>
            </c:strRef>
          </c:cat>
          <c:val>
            <c:numRef>
              <c:f>Pivot!$H$2:$H$7</c:f>
              <c:numCache>
                <c:formatCode>0.00</c:formatCode>
                <c:ptCount val="6"/>
                <c:pt idx="0">
                  <c:v>3.1190476190476191</c:v>
                </c:pt>
                <c:pt idx="1">
                  <c:v>3.3414634146341462</c:v>
                </c:pt>
                <c:pt idx="2">
                  <c:v>3.2884615384615383</c:v>
                </c:pt>
                <c:pt idx="3">
                  <c:v>3.4545454545454546</c:v>
                </c:pt>
                <c:pt idx="4">
                  <c:v>3.2133333333333334</c:v>
                </c:pt>
                <c:pt idx="5">
                  <c:v>3.4035087719298245</c:v>
                </c:pt>
              </c:numCache>
            </c:numRef>
          </c:val>
          <c:extLst>
            <c:ext xmlns:c16="http://schemas.microsoft.com/office/drawing/2014/chart" uri="{C3380CC4-5D6E-409C-BE32-E72D297353CC}">
              <c16:uniqueId val="{00000000-E988-407A-9BFB-096097E7BCE5}"/>
            </c:ext>
          </c:extLst>
        </c:ser>
        <c:dLbls>
          <c:dLblPos val="outEnd"/>
          <c:showLegendKey val="0"/>
          <c:showVal val="1"/>
          <c:showCatName val="0"/>
          <c:showSerName val="0"/>
          <c:showPercent val="0"/>
          <c:showBubbleSize val="0"/>
        </c:dLbls>
        <c:gapWidth val="219"/>
        <c:overlap val="-27"/>
        <c:axId val="297091808"/>
        <c:axId val="297090368"/>
      </c:barChart>
      <c:catAx>
        <c:axId val="29709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7090368"/>
        <c:crosses val="autoZero"/>
        <c:auto val="1"/>
        <c:lblAlgn val="ctr"/>
        <c:lblOffset val="100"/>
        <c:noMultiLvlLbl val="0"/>
      </c:catAx>
      <c:valAx>
        <c:axId val="297090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709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[HR_Employee_Analytics_Project.xlsx]Pivot!PivotTable4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Employee Attrition</a:t>
            </a:r>
            <a:r>
              <a:rPr lang="en-US" baseline="0">
                <a:latin typeface="Times New Roman" panose="02020603050405020304" pitchFamily="18" charset="0"/>
                <a:cs typeface="Times New Roman" panose="02020603050405020304" pitchFamily="18" charset="0"/>
              </a:rPr>
              <a:t> by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Pivot!$B$12:$B$13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Pivot!$A$14:$A$19</c:f>
              <c:strCache>
                <c:ptCount val="6"/>
                <c:pt idx="0">
                  <c:v>Finance</c:v>
                </c:pt>
                <c:pt idx="1">
                  <c:v>HR</c:v>
                </c:pt>
                <c:pt idx="2">
                  <c:v>IT</c:v>
                </c:pt>
                <c:pt idx="3">
                  <c:v>Marketing</c:v>
                </c:pt>
                <c:pt idx="4">
                  <c:v>Operations</c:v>
                </c:pt>
                <c:pt idx="5">
                  <c:v>Sales</c:v>
                </c:pt>
              </c:strCache>
            </c:strRef>
          </c:cat>
          <c:val>
            <c:numRef>
              <c:f>Pivot!$B$14:$B$19</c:f>
              <c:numCache>
                <c:formatCode>0</c:formatCode>
                <c:ptCount val="6"/>
                <c:pt idx="0">
                  <c:v>36</c:v>
                </c:pt>
                <c:pt idx="1">
                  <c:v>39</c:v>
                </c:pt>
                <c:pt idx="2">
                  <c:v>49</c:v>
                </c:pt>
                <c:pt idx="3">
                  <c:v>29</c:v>
                </c:pt>
                <c:pt idx="4">
                  <c:v>71</c:v>
                </c:pt>
                <c:pt idx="5">
                  <c:v>54</c:v>
                </c:pt>
              </c:numCache>
            </c:numRef>
          </c:val>
          <c:extLst>
            <c:ext xmlns:c16="http://schemas.microsoft.com/office/drawing/2014/chart" uri="{C3380CC4-5D6E-409C-BE32-E72D297353CC}">
              <c16:uniqueId val="{00000000-37D0-49E1-B84C-B3D36CDA6B58}"/>
            </c:ext>
          </c:extLst>
        </c:ser>
        <c:ser>
          <c:idx val="1"/>
          <c:order val="1"/>
          <c:tx>
            <c:strRef>
              <c:f>Pivot!$C$12:$C$13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Pivot!$A$14:$A$19</c:f>
              <c:strCache>
                <c:ptCount val="6"/>
                <c:pt idx="0">
                  <c:v>Finance</c:v>
                </c:pt>
                <c:pt idx="1">
                  <c:v>HR</c:v>
                </c:pt>
                <c:pt idx="2">
                  <c:v>IT</c:v>
                </c:pt>
                <c:pt idx="3">
                  <c:v>Marketing</c:v>
                </c:pt>
                <c:pt idx="4">
                  <c:v>Operations</c:v>
                </c:pt>
                <c:pt idx="5">
                  <c:v>Sales</c:v>
                </c:pt>
              </c:strCache>
            </c:strRef>
          </c:cat>
          <c:val>
            <c:numRef>
              <c:f>Pivot!$C$14:$C$19</c:f>
              <c:numCache>
                <c:formatCode>0</c:formatCode>
                <c:ptCount val="6"/>
                <c:pt idx="0">
                  <c:v>6</c:v>
                </c:pt>
                <c:pt idx="1">
                  <c:v>2</c:v>
                </c:pt>
                <c:pt idx="2">
                  <c:v>3</c:v>
                </c:pt>
                <c:pt idx="3">
                  <c:v>4</c:v>
                </c:pt>
                <c:pt idx="4">
                  <c:v>4</c:v>
                </c:pt>
                <c:pt idx="5">
                  <c:v>3</c:v>
                </c:pt>
              </c:numCache>
            </c:numRef>
          </c:val>
          <c:extLst>
            <c:ext xmlns:c16="http://schemas.microsoft.com/office/drawing/2014/chart" uri="{C3380CC4-5D6E-409C-BE32-E72D297353CC}">
              <c16:uniqueId val="{00000001-37D0-49E1-B84C-B3D36CDA6B58}"/>
            </c:ext>
          </c:extLst>
        </c:ser>
        <c:dLbls>
          <c:dLblPos val="outEnd"/>
          <c:showLegendKey val="0"/>
          <c:showVal val="1"/>
          <c:showCatName val="0"/>
          <c:showSerName val="0"/>
          <c:showPercent val="0"/>
          <c:showBubbleSize val="0"/>
        </c:dLbls>
        <c:gapWidth val="219"/>
        <c:axId val="409273584"/>
        <c:axId val="409283664"/>
      </c:barChart>
      <c:catAx>
        <c:axId val="4092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09283664"/>
        <c:crosses val="autoZero"/>
        <c:auto val="1"/>
        <c:lblAlgn val="ctr"/>
        <c:lblOffset val="100"/>
        <c:noMultiLvlLbl val="0"/>
      </c:catAx>
      <c:valAx>
        <c:axId val="409283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0927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3174</xdr:colOff>
      <xdr:row>7</xdr:row>
      <xdr:rowOff>0</xdr:rowOff>
    </xdr:from>
    <xdr:to>
      <xdr:col>2</xdr:col>
      <xdr:colOff>6349</xdr:colOff>
      <xdr:row>21</xdr:row>
      <xdr:rowOff>165100</xdr:rowOff>
    </xdr:to>
    <xdr:graphicFrame macro="">
      <xdr:nvGraphicFramePr>
        <xdr:cNvPr id="5" name="Chart 2">
          <a:extLst>
            <a:ext uri="{FF2B5EF4-FFF2-40B4-BE49-F238E27FC236}">
              <a16:creationId xmlns:a16="http://schemas.microsoft.com/office/drawing/2014/main" id="{DE5DEAE9-2E68-E476-1003-D3AF5C15E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7</xdr:row>
      <xdr:rowOff>6350</xdr:rowOff>
    </xdr:from>
    <xdr:to>
      <xdr:col>11</xdr:col>
      <xdr:colOff>15875</xdr:colOff>
      <xdr:row>21</xdr:row>
      <xdr:rowOff>171450</xdr:rowOff>
    </xdr:to>
    <xdr:graphicFrame macro="">
      <xdr:nvGraphicFramePr>
        <xdr:cNvPr id="8" name="Chart 3">
          <a:extLst>
            <a:ext uri="{FF2B5EF4-FFF2-40B4-BE49-F238E27FC236}">
              <a16:creationId xmlns:a16="http://schemas.microsoft.com/office/drawing/2014/main" id="{2922690C-665B-D97F-12BC-5746E6B02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24</xdr:row>
      <xdr:rowOff>12700</xdr:rowOff>
    </xdr:from>
    <xdr:to>
      <xdr:col>2</xdr:col>
      <xdr:colOff>0</xdr:colOff>
      <xdr:row>39</xdr:row>
      <xdr:rowOff>171450</xdr:rowOff>
    </xdr:to>
    <xdr:graphicFrame macro="">
      <xdr:nvGraphicFramePr>
        <xdr:cNvPr id="9" name="Chart 4">
          <a:extLst>
            <a:ext uri="{FF2B5EF4-FFF2-40B4-BE49-F238E27FC236}">
              <a16:creationId xmlns:a16="http://schemas.microsoft.com/office/drawing/2014/main" id="{A6CBDEFF-E597-3BB0-AB71-5EC622DE4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12699</xdr:colOff>
      <xdr:row>24</xdr:row>
      <xdr:rowOff>0</xdr:rowOff>
    </xdr:from>
    <xdr:to>
      <xdr:col>11</xdr:col>
      <xdr:colOff>6350</xdr:colOff>
      <xdr:row>39</xdr:row>
      <xdr:rowOff>171450</xdr:rowOff>
    </xdr:to>
    <xdr:graphicFrame macro="">
      <xdr:nvGraphicFramePr>
        <xdr:cNvPr id="10" name="Chart 5">
          <a:extLst>
            <a:ext uri="{FF2B5EF4-FFF2-40B4-BE49-F238E27FC236}">
              <a16:creationId xmlns:a16="http://schemas.microsoft.com/office/drawing/2014/main" id="{7542EA05-5489-8B3E-34F3-330B062D9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12700</xdr:colOff>
      <xdr:row>42</xdr:row>
      <xdr:rowOff>171450</xdr:rowOff>
    </xdr:from>
    <xdr:to>
      <xdr:col>1</xdr:col>
      <xdr:colOff>6350</xdr:colOff>
      <xdr:row>56</xdr:row>
      <xdr:rowOff>165100</xdr:rowOff>
    </xdr:to>
    <mc:AlternateContent xmlns:mc="http://schemas.openxmlformats.org/markup-compatibility/2006" xmlns:a14="http://schemas.microsoft.com/office/drawing/2010/main">
      <mc:Choice Requires="a14">
        <xdr:graphicFrame macro="">
          <xdr:nvGraphicFramePr>
            <xdr:cNvPr id="12" name="Overtime">
              <a:extLst>
                <a:ext uri="{FF2B5EF4-FFF2-40B4-BE49-F238E27FC236}">
                  <a16:creationId xmlns:a16="http://schemas.microsoft.com/office/drawing/2014/main" id="{67FB212B-B05C-4C03-A043-499BD3F3B32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700" y="8096250"/>
              <a:ext cx="2184400" cy="257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165100</xdr:colOff>
      <xdr:row>42</xdr:row>
      <xdr:rowOff>177800</xdr:rowOff>
    </xdr:from>
    <xdr:to>
      <xdr:col>2</xdr:col>
      <xdr:colOff>6350</xdr:colOff>
      <xdr:row>57</xdr:row>
      <xdr:rowOff>19050</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E8D5EC23-3B70-4C2F-825D-F4C906273C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55850" y="8102600"/>
              <a:ext cx="2343150" cy="260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xusdigital" refreshedDate="46303.418163541668" createdVersion="8" refreshedVersion="8" minRefreshableVersion="3" recordCount="300" xr:uid="{8836DC7C-D48D-4F71-8A28-C81742905C2D}">
  <cacheSource type="worksheet">
    <worksheetSource ref="A1:M301" sheet="Data"/>
  </cacheSource>
  <cacheFields count="13">
    <cacheField name="Employee ID" numFmtId="49">
      <sharedItems count="3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haredItems>
    </cacheField>
    <cacheField name="Age" numFmtId="1">
      <sharedItems containsSemiMixedTypes="0" containsString="0" containsNumber="1" containsInteger="1" minValue="22" maxValue="60"/>
    </cacheField>
    <cacheField name="Gender" numFmtId="49">
      <sharedItems/>
    </cacheField>
    <cacheField name="Department" numFmtId="49">
      <sharedItems count="6">
        <s v="IT"/>
        <s v="Operations"/>
        <s v="Marketing"/>
        <s v="Sales"/>
        <s v="Finance"/>
        <s v="HR"/>
      </sharedItems>
    </cacheField>
    <cacheField name="Education" numFmtId="49">
      <sharedItems/>
    </cacheField>
    <cacheField name="Years of Experience" numFmtId="1">
      <sharedItems containsSemiMixedTypes="0" containsString="0" containsNumber="1" containsInteger="1" minValue="0" maxValue="37"/>
    </cacheField>
    <cacheField name="Annual Salary" numFmtId="44">
      <sharedItems containsSemiMixedTypes="0" containsString="0" containsNumber="1" containsInteger="1" minValue="28000" maxValue="138000"/>
    </cacheField>
    <cacheField name="Job Satisfaction (1-5)" numFmtId="1">
      <sharedItems containsSemiMixedTypes="0" containsString="0" containsNumber="1" containsInteger="1" minValue="1" maxValue="5"/>
    </cacheField>
    <cacheField name="Performance Rating (1-5)" numFmtId="1">
      <sharedItems containsSemiMixedTypes="0" containsString="0" containsNumber="1" containsInteger="1" minValue="2" maxValue="5"/>
    </cacheField>
    <cacheField name="Overtime" numFmtId="49">
      <sharedItems count="2">
        <s v="No"/>
        <s v="Yes"/>
      </sharedItems>
    </cacheField>
    <cacheField name="Absence Days" numFmtId="1">
      <sharedItems containsSemiMixedTypes="0" containsString="0" containsNumber="1" containsInteger="1" minValue="0" maxValue="17"/>
    </cacheField>
    <cacheField name="Training Hours" numFmtId="1">
      <sharedItems containsSemiMixedTypes="0" containsString="0" containsNumber="1" containsInteger="1" minValue="0" maxValue="51"/>
    </cacheField>
    <cacheField name="Left Company" numFmtId="49">
      <sharedItems count="2">
        <s v="No"/>
        <s v="Yes"/>
      </sharedItems>
    </cacheField>
  </cacheFields>
  <extLst>
    <ext xmlns:x14="http://schemas.microsoft.com/office/spreadsheetml/2009/9/main" uri="{725AE2AE-9491-48be-B2B4-4EB974FC3084}">
      <x14:pivotCacheDefinition pivotCacheId="987999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n v="27"/>
    <s v="Female"/>
    <x v="0"/>
    <s v="Master"/>
    <n v="4"/>
    <n v="49700"/>
    <n v="2"/>
    <n v="3"/>
    <x v="0"/>
    <n v="3"/>
    <n v="14"/>
    <x v="0"/>
  </r>
  <r>
    <x v="1"/>
    <n v="27"/>
    <s v="Male"/>
    <x v="1"/>
    <s v="Bachelor"/>
    <n v="0"/>
    <n v="40000"/>
    <n v="5"/>
    <n v="5"/>
    <x v="0"/>
    <n v="6"/>
    <n v="36"/>
    <x v="0"/>
  </r>
  <r>
    <x v="2"/>
    <n v="24"/>
    <s v="Male"/>
    <x v="2"/>
    <s v="Bachelor"/>
    <n v="0"/>
    <n v="31600"/>
    <n v="5"/>
    <n v="5"/>
    <x v="0"/>
    <n v="10"/>
    <n v="40"/>
    <x v="0"/>
  </r>
  <r>
    <x v="3"/>
    <n v="28"/>
    <s v="Male"/>
    <x v="3"/>
    <s v="Master"/>
    <n v="7"/>
    <n v="65400"/>
    <n v="3"/>
    <n v="3"/>
    <x v="0"/>
    <n v="2"/>
    <n v="45"/>
    <x v="0"/>
  </r>
  <r>
    <x v="4"/>
    <n v="29"/>
    <s v="Female"/>
    <x v="4"/>
    <s v="Bachelor"/>
    <n v="2"/>
    <n v="42500"/>
    <n v="4"/>
    <n v="4"/>
    <x v="0"/>
    <n v="3"/>
    <n v="28"/>
    <x v="0"/>
  </r>
  <r>
    <x v="5"/>
    <n v="36"/>
    <s v="Female"/>
    <x v="4"/>
    <s v="Bachelor"/>
    <n v="11"/>
    <n v="64000"/>
    <n v="3"/>
    <n v="4"/>
    <x v="0"/>
    <n v="11"/>
    <n v="19"/>
    <x v="0"/>
  </r>
  <r>
    <x v="6"/>
    <n v="50"/>
    <s v="Female"/>
    <x v="5"/>
    <s v="High School"/>
    <n v="24"/>
    <n v="87600"/>
    <n v="4"/>
    <n v="2"/>
    <x v="1"/>
    <n v="6"/>
    <n v="10"/>
    <x v="0"/>
  </r>
  <r>
    <x v="7"/>
    <n v="54"/>
    <s v="Male"/>
    <x v="1"/>
    <s v="Bachelor"/>
    <n v="28"/>
    <n v="92800"/>
    <n v="2"/>
    <n v="4"/>
    <x v="0"/>
    <n v="3"/>
    <n v="14"/>
    <x v="0"/>
  </r>
  <r>
    <x v="8"/>
    <n v="51"/>
    <s v="Male"/>
    <x v="3"/>
    <s v="High School"/>
    <n v="23"/>
    <n v="103900"/>
    <n v="4"/>
    <n v="4"/>
    <x v="1"/>
    <n v="10"/>
    <n v="42"/>
    <x v="0"/>
  </r>
  <r>
    <x v="9"/>
    <n v="60"/>
    <s v="Male"/>
    <x v="2"/>
    <s v="Bachelor"/>
    <n v="31"/>
    <n v="100700"/>
    <n v="2"/>
    <n v="3"/>
    <x v="1"/>
    <n v="6"/>
    <n v="4"/>
    <x v="1"/>
  </r>
  <r>
    <x v="10"/>
    <n v="48"/>
    <s v="Female"/>
    <x v="5"/>
    <s v="Bachelor"/>
    <n v="26"/>
    <n v="100400"/>
    <n v="4"/>
    <n v="3"/>
    <x v="0"/>
    <n v="10"/>
    <n v="37"/>
    <x v="0"/>
  </r>
  <r>
    <x v="11"/>
    <n v="57"/>
    <s v="Male"/>
    <x v="1"/>
    <s v="Master"/>
    <n v="28"/>
    <n v="96900"/>
    <n v="4"/>
    <n v="4"/>
    <x v="0"/>
    <n v="3"/>
    <n v="17"/>
    <x v="0"/>
  </r>
  <r>
    <x v="12"/>
    <n v="50"/>
    <s v="Male"/>
    <x v="1"/>
    <s v="Master"/>
    <n v="20"/>
    <n v="89600"/>
    <n v="4"/>
    <n v="4"/>
    <x v="0"/>
    <n v="5"/>
    <n v="19"/>
    <x v="0"/>
  </r>
  <r>
    <x v="13"/>
    <n v="59"/>
    <s v="Male"/>
    <x v="4"/>
    <s v="Master"/>
    <n v="30"/>
    <n v="116400"/>
    <n v="1"/>
    <n v="2"/>
    <x v="0"/>
    <n v="10"/>
    <n v="20"/>
    <x v="1"/>
  </r>
  <r>
    <x v="14"/>
    <n v="54"/>
    <s v="Male"/>
    <x v="4"/>
    <s v="PhD"/>
    <n v="24"/>
    <n v="106600"/>
    <n v="3"/>
    <n v="4"/>
    <x v="0"/>
    <n v="5"/>
    <n v="19"/>
    <x v="0"/>
  </r>
  <r>
    <x v="15"/>
    <n v="58"/>
    <s v="Female"/>
    <x v="4"/>
    <s v="Bachelor"/>
    <n v="28"/>
    <n v="97600"/>
    <n v="3"/>
    <n v="4"/>
    <x v="1"/>
    <n v="11"/>
    <n v="38"/>
    <x v="1"/>
  </r>
  <r>
    <x v="16"/>
    <n v="48"/>
    <s v="Female"/>
    <x v="0"/>
    <s v="Bachelor"/>
    <n v="21"/>
    <n v="89400"/>
    <n v="3"/>
    <n v="5"/>
    <x v="1"/>
    <n v="7"/>
    <n v="49"/>
    <x v="0"/>
  </r>
  <r>
    <x v="17"/>
    <n v="54"/>
    <s v="Male"/>
    <x v="3"/>
    <s v="Master"/>
    <n v="33"/>
    <n v="112800"/>
    <n v="2"/>
    <n v="2"/>
    <x v="0"/>
    <n v="14"/>
    <n v="14"/>
    <x v="0"/>
  </r>
  <r>
    <x v="18"/>
    <n v="25"/>
    <s v="Female"/>
    <x v="0"/>
    <s v="Bachelor"/>
    <n v="0"/>
    <n v="61800"/>
    <n v="5"/>
    <n v="4"/>
    <x v="0"/>
    <n v="12"/>
    <n v="22"/>
    <x v="0"/>
  </r>
  <r>
    <x v="19"/>
    <n v="43"/>
    <s v="Female"/>
    <x v="0"/>
    <s v="PhD"/>
    <n v="13"/>
    <n v="87400"/>
    <n v="4"/>
    <n v="4"/>
    <x v="1"/>
    <n v="2"/>
    <n v="25"/>
    <x v="1"/>
  </r>
  <r>
    <x v="20"/>
    <n v="23"/>
    <s v="Male"/>
    <x v="3"/>
    <s v="High School"/>
    <n v="0"/>
    <n v="39700"/>
    <n v="3"/>
    <n v="4"/>
    <x v="1"/>
    <n v="10"/>
    <n v="33"/>
    <x v="0"/>
  </r>
  <r>
    <x v="21"/>
    <n v="31"/>
    <s v="Male"/>
    <x v="4"/>
    <s v="PhD"/>
    <n v="5"/>
    <n v="77500"/>
    <n v="3"/>
    <n v="3"/>
    <x v="1"/>
    <n v="4"/>
    <n v="20"/>
    <x v="0"/>
  </r>
  <r>
    <x v="22"/>
    <n v="26"/>
    <s v="Female"/>
    <x v="0"/>
    <s v="High School"/>
    <n v="0"/>
    <n v="38900"/>
    <n v="3"/>
    <n v="4"/>
    <x v="0"/>
    <n v="7"/>
    <n v="44"/>
    <x v="0"/>
  </r>
  <r>
    <x v="23"/>
    <n v="31"/>
    <s v="Male"/>
    <x v="0"/>
    <s v="Master"/>
    <n v="4"/>
    <n v="61100"/>
    <n v="4"/>
    <n v="3"/>
    <x v="1"/>
    <n v="8"/>
    <n v="36"/>
    <x v="0"/>
  </r>
  <r>
    <x v="24"/>
    <n v="54"/>
    <s v="Female"/>
    <x v="3"/>
    <s v="Bachelor"/>
    <n v="29"/>
    <n v="97900"/>
    <n v="3"/>
    <n v="3"/>
    <x v="0"/>
    <n v="2"/>
    <n v="8"/>
    <x v="0"/>
  </r>
  <r>
    <x v="25"/>
    <n v="59"/>
    <s v="Male"/>
    <x v="1"/>
    <s v="PhD"/>
    <n v="32"/>
    <n v="119800"/>
    <n v="5"/>
    <n v="4"/>
    <x v="0"/>
    <n v="10"/>
    <n v="33"/>
    <x v="0"/>
  </r>
  <r>
    <x v="26"/>
    <n v="34"/>
    <s v="Female"/>
    <x v="4"/>
    <s v="High School"/>
    <n v="5"/>
    <n v="49700"/>
    <n v="3"/>
    <n v="3"/>
    <x v="0"/>
    <n v="7"/>
    <n v="40"/>
    <x v="0"/>
  </r>
  <r>
    <x v="27"/>
    <n v="52"/>
    <s v="Male"/>
    <x v="3"/>
    <s v="Bachelor"/>
    <n v="29"/>
    <n v="94700"/>
    <n v="5"/>
    <n v="3"/>
    <x v="0"/>
    <n v="5"/>
    <n v="16"/>
    <x v="0"/>
  </r>
  <r>
    <x v="28"/>
    <n v="57"/>
    <s v="Female"/>
    <x v="3"/>
    <s v="PhD"/>
    <n v="29"/>
    <n v="115200"/>
    <n v="5"/>
    <n v="4"/>
    <x v="1"/>
    <n v="6"/>
    <n v="23"/>
    <x v="0"/>
  </r>
  <r>
    <x v="29"/>
    <n v="45"/>
    <s v="Female"/>
    <x v="5"/>
    <s v="Bachelor"/>
    <n v="23"/>
    <n v="79200"/>
    <n v="2"/>
    <n v="4"/>
    <x v="0"/>
    <n v="7"/>
    <n v="21"/>
    <x v="0"/>
  </r>
  <r>
    <x v="30"/>
    <n v="36"/>
    <s v="Female"/>
    <x v="3"/>
    <s v="Master"/>
    <n v="9"/>
    <n v="69700"/>
    <n v="5"/>
    <n v="3"/>
    <x v="0"/>
    <n v="8"/>
    <n v="16"/>
    <x v="0"/>
  </r>
  <r>
    <x v="31"/>
    <n v="50"/>
    <s v="Male"/>
    <x v="4"/>
    <s v="Master"/>
    <n v="28"/>
    <n v="113000"/>
    <n v="2"/>
    <n v="3"/>
    <x v="0"/>
    <n v="6"/>
    <n v="2"/>
    <x v="1"/>
  </r>
  <r>
    <x v="32"/>
    <n v="29"/>
    <s v="Female"/>
    <x v="5"/>
    <s v="Bachelor"/>
    <n v="5"/>
    <n v="43500"/>
    <n v="4"/>
    <n v="4"/>
    <x v="0"/>
    <n v="0"/>
    <n v="11"/>
    <x v="0"/>
  </r>
  <r>
    <x v="33"/>
    <n v="26"/>
    <s v="Female"/>
    <x v="1"/>
    <s v="Master"/>
    <n v="0"/>
    <n v="39900"/>
    <n v="3"/>
    <n v="3"/>
    <x v="0"/>
    <n v="6"/>
    <n v="23"/>
    <x v="0"/>
  </r>
  <r>
    <x v="34"/>
    <n v="50"/>
    <s v="Male"/>
    <x v="1"/>
    <s v="Master"/>
    <n v="27"/>
    <n v="104300"/>
    <n v="5"/>
    <n v="4"/>
    <x v="0"/>
    <n v="0"/>
    <n v="45"/>
    <x v="0"/>
  </r>
  <r>
    <x v="35"/>
    <n v="25"/>
    <s v="Male"/>
    <x v="1"/>
    <s v="Master"/>
    <n v="3"/>
    <n v="44000"/>
    <n v="5"/>
    <n v="4"/>
    <x v="1"/>
    <n v="7"/>
    <n v="20"/>
    <x v="0"/>
  </r>
  <r>
    <x v="36"/>
    <n v="33"/>
    <s v="Female"/>
    <x v="0"/>
    <s v="High School"/>
    <n v="3"/>
    <n v="64300"/>
    <n v="4"/>
    <n v="4"/>
    <x v="0"/>
    <n v="0"/>
    <n v="19"/>
    <x v="0"/>
  </r>
  <r>
    <x v="37"/>
    <n v="23"/>
    <s v="Female"/>
    <x v="5"/>
    <s v="Bachelor"/>
    <n v="0"/>
    <n v="38500"/>
    <n v="4"/>
    <n v="5"/>
    <x v="0"/>
    <n v="0"/>
    <n v="47"/>
    <x v="0"/>
  </r>
  <r>
    <x v="38"/>
    <n v="48"/>
    <s v="Male"/>
    <x v="2"/>
    <s v="PhD"/>
    <n v="27"/>
    <n v="112200"/>
    <n v="3"/>
    <n v="3"/>
    <x v="0"/>
    <n v="11"/>
    <n v="9"/>
    <x v="0"/>
  </r>
  <r>
    <x v="39"/>
    <n v="52"/>
    <s v="Male"/>
    <x v="3"/>
    <s v="Master"/>
    <n v="24"/>
    <n v="100600"/>
    <n v="2"/>
    <n v="3"/>
    <x v="1"/>
    <n v="6"/>
    <n v="2"/>
    <x v="0"/>
  </r>
  <r>
    <x v="40"/>
    <n v="57"/>
    <s v="Male"/>
    <x v="4"/>
    <s v="Bachelor"/>
    <n v="34"/>
    <n v="110700"/>
    <n v="3"/>
    <n v="4"/>
    <x v="1"/>
    <n v="6"/>
    <n v="17"/>
    <x v="1"/>
  </r>
  <r>
    <x v="41"/>
    <n v="57"/>
    <s v="Male"/>
    <x v="3"/>
    <s v="Master"/>
    <n v="35"/>
    <n v="127600"/>
    <n v="2"/>
    <n v="3"/>
    <x v="1"/>
    <n v="9"/>
    <n v="14"/>
    <x v="0"/>
  </r>
  <r>
    <x v="42"/>
    <n v="47"/>
    <s v="Male"/>
    <x v="5"/>
    <s v="Bachelor"/>
    <n v="24"/>
    <n v="89600"/>
    <n v="4"/>
    <n v="2"/>
    <x v="0"/>
    <n v="5"/>
    <n v="1"/>
    <x v="0"/>
  </r>
  <r>
    <x v="43"/>
    <n v="48"/>
    <s v="Female"/>
    <x v="1"/>
    <s v="Bachelor"/>
    <n v="23"/>
    <n v="93300"/>
    <n v="3"/>
    <n v="3"/>
    <x v="0"/>
    <n v="14"/>
    <n v="20"/>
    <x v="1"/>
  </r>
  <r>
    <x v="44"/>
    <n v="26"/>
    <s v="Male"/>
    <x v="4"/>
    <s v="Bachelor"/>
    <n v="0"/>
    <n v="38600"/>
    <n v="5"/>
    <n v="5"/>
    <x v="0"/>
    <n v="5"/>
    <n v="38"/>
    <x v="0"/>
  </r>
  <r>
    <x v="45"/>
    <n v="41"/>
    <s v="Female"/>
    <x v="2"/>
    <s v="Bachelor"/>
    <n v="11"/>
    <n v="69400"/>
    <n v="4"/>
    <n v="4"/>
    <x v="1"/>
    <n v="9"/>
    <n v="12"/>
    <x v="0"/>
  </r>
  <r>
    <x v="46"/>
    <n v="32"/>
    <s v="Female"/>
    <x v="0"/>
    <s v="Master"/>
    <n v="5"/>
    <n v="65800"/>
    <n v="4"/>
    <n v="4"/>
    <x v="1"/>
    <n v="11"/>
    <n v="28"/>
    <x v="0"/>
  </r>
  <r>
    <x v="47"/>
    <n v="31"/>
    <s v="Female"/>
    <x v="3"/>
    <s v="High School"/>
    <n v="4"/>
    <n v="60100"/>
    <n v="2"/>
    <n v="2"/>
    <x v="0"/>
    <n v="12"/>
    <n v="27"/>
    <x v="0"/>
  </r>
  <r>
    <x v="48"/>
    <n v="59"/>
    <s v="Male"/>
    <x v="3"/>
    <s v="PhD"/>
    <n v="32"/>
    <n v="117800"/>
    <n v="5"/>
    <n v="4"/>
    <x v="1"/>
    <n v="5"/>
    <n v="26"/>
    <x v="0"/>
  </r>
  <r>
    <x v="49"/>
    <n v="27"/>
    <s v="Female"/>
    <x v="4"/>
    <s v="PhD"/>
    <n v="0"/>
    <n v="55400"/>
    <n v="5"/>
    <n v="4"/>
    <x v="1"/>
    <n v="6"/>
    <n v="29"/>
    <x v="0"/>
  </r>
  <r>
    <x v="50"/>
    <n v="29"/>
    <s v="Female"/>
    <x v="1"/>
    <s v="Master"/>
    <n v="8"/>
    <n v="53400"/>
    <n v="3"/>
    <n v="4"/>
    <x v="0"/>
    <n v="11"/>
    <n v="29"/>
    <x v="1"/>
  </r>
  <r>
    <x v="51"/>
    <n v="44"/>
    <s v="Male"/>
    <x v="1"/>
    <s v="Bachelor"/>
    <n v="20"/>
    <n v="76300"/>
    <n v="4"/>
    <n v="4"/>
    <x v="1"/>
    <n v="11"/>
    <n v="17"/>
    <x v="0"/>
  </r>
  <r>
    <x v="52"/>
    <n v="47"/>
    <s v="Female"/>
    <x v="1"/>
    <s v="Bachelor"/>
    <n v="21"/>
    <n v="86500"/>
    <n v="4"/>
    <n v="3"/>
    <x v="0"/>
    <n v="10"/>
    <n v="40"/>
    <x v="0"/>
  </r>
  <r>
    <x v="53"/>
    <n v="33"/>
    <s v="Female"/>
    <x v="1"/>
    <s v="Master"/>
    <n v="4"/>
    <n v="59700"/>
    <n v="2"/>
    <n v="3"/>
    <x v="0"/>
    <n v="1"/>
    <n v="37"/>
    <x v="0"/>
  </r>
  <r>
    <x v="54"/>
    <n v="47"/>
    <s v="Male"/>
    <x v="3"/>
    <s v="Master"/>
    <n v="25"/>
    <n v="118800"/>
    <n v="3"/>
    <n v="4"/>
    <x v="0"/>
    <n v="12"/>
    <n v="41"/>
    <x v="0"/>
  </r>
  <r>
    <x v="55"/>
    <n v="34"/>
    <s v="Female"/>
    <x v="1"/>
    <s v="Bachelor"/>
    <n v="13"/>
    <n v="63900"/>
    <n v="3"/>
    <n v="3"/>
    <x v="0"/>
    <n v="3"/>
    <n v="34"/>
    <x v="0"/>
  </r>
  <r>
    <x v="56"/>
    <n v="39"/>
    <s v="Female"/>
    <x v="5"/>
    <s v="Master"/>
    <n v="9"/>
    <n v="56300"/>
    <n v="2"/>
    <n v="3"/>
    <x v="0"/>
    <n v="7"/>
    <n v="3"/>
    <x v="0"/>
  </r>
  <r>
    <x v="57"/>
    <n v="46"/>
    <s v="Female"/>
    <x v="4"/>
    <s v="Master"/>
    <n v="24"/>
    <n v="105100"/>
    <n v="3"/>
    <n v="3"/>
    <x v="0"/>
    <n v="5"/>
    <n v="33"/>
    <x v="0"/>
  </r>
  <r>
    <x v="58"/>
    <n v="54"/>
    <s v="Male"/>
    <x v="5"/>
    <s v="PhD"/>
    <n v="27"/>
    <n v="101500"/>
    <n v="1"/>
    <n v="3"/>
    <x v="0"/>
    <n v="2"/>
    <n v="30"/>
    <x v="0"/>
  </r>
  <r>
    <x v="59"/>
    <n v="33"/>
    <s v="Male"/>
    <x v="0"/>
    <s v="Master"/>
    <n v="10"/>
    <n v="77900"/>
    <n v="1"/>
    <n v="4"/>
    <x v="0"/>
    <n v="0"/>
    <n v="9"/>
    <x v="0"/>
  </r>
  <r>
    <x v="60"/>
    <n v="57"/>
    <s v="Male"/>
    <x v="0"/>
    <s v="Master"/>
    <n v="27"/>
    <n v="107900"/>
    <n v="2"/>
    <n v="3"/>
    <x v="0"/>
    <n v="0"/>
    <n v="19"/>
    <x v="0"/>
  </r>
  <r>
    <x v="61"/>
    <n v="25"/>
    <s v="Female"/>
    <x v="0"/>
    <s v="Bachelor"/>
    <n v="3"/>
    <n v="53100"/>
    <n v="5"/>
    <n v="4"/>
    <x v="0"/>
    <n v="6"/>
    <n v="30"/>
    <x v="0"/>
  </r>
  <r>
    <x v="62"/>
    <n v="26"/>
    <s v="Female"/>
    <x v="1"/>
    <s v="Master"/>
    <n v="0"/>
    <n v="50600"/>
    <n v="4"/>
    <n v="4"/>
    <x v="0"/>
    <n v="0"/>
    <n v="47"/>
    <x v="0"/>
  </r>
  <r>
    <x v="63"/>
    <n v="58"/>
    <s v="Male"/>
    <x v="0"/>
    <s v="Master"/>
    <n v="36"/>
    <n v="130400"/>
    <n v="5"/>
    <n v="3"/>
    <x v="0"/>
    <n v="1"/>
    <n v="31"/>
    <x v="0"/>
  </r>
  <r>
    <x v="64"/>
    <n v="29"/>
    <s v="Female"/>
    <x v="0"/>
    <s v="High School"/>
    <n v="6"/>
    <n v="64700"/>
    <n v="3"/>
    <n v="2"/>
    <x v="1"/>
    <n v="7"/>
    <n v="12"/>
    <x v="0"/>
  </r>
  <r>
    <x v="65"/>
    <n v="49"/>
    <s v="Female"/>
    <x v="3"/>
    <s v="High School"/>
    <n v="22"/>
    <n v="90500"/>
    <n v="3"/>
    <n v="3"/>
    <x v="1"/>
    <n v="0"/>
    <n v="42"/>
    <x v="0"/>
  </r>
  <r>
    <x v="66"/>
    <n v="52"/>
    <s v="Male"/>
    <x v="4"/>
    <s v="Bachelor"/>
    <n v="28"/>
    <n v="88500"/>
    <n v="3"/>
    <n v="4"/>
    <x v="1"/>
    <n v="11"/>
    <n v="28"/>
    <x v="0"/>
  </r>
  <r>
    <x v="67"/>
    <n v="30"/>
    <s v="Male"/>
    <x v="1"/>
    <s v="Master"/>
    <n v="9"/>
    <n v="56500"/>
    <n v="3"/>
    <n v="4"/>
    <x v="1"/>
    <n v="0"/>
    <n v="24"/>
    <x v="0"/>
  </r>
  <r>
    <x v="68"/>
    <n v="50"/>
    <s v="Female"/>
    <x v="5"/>
    <s v="PhD"/>
    <n v="25"/>
    <n v="94100"/>
    <n v="2"/>
    <n v="4"/>
    <x v="0"/>
    <n v="6"/>
    <n v="23"/>
    <x v="0"/>
  </r>
  <r>
    <x v="69"/>
    <n v="35"/>
    <s v="Female"/>
    <x v="1"/>
    <s v="Bachelor"/>
    <n v="6"/>
    <n v="63200"/>
    <n v="4"/>
    <n v="4"/>
    <x v="1"/>
    <n v="8"/>
    <n v="8"/>
    <x v="0"/>
  </r>
  <r>
    <x v="70"/>
    <n v="43"/>
    <s v="Female"/>
    <x v="1"/>
    <s v="Master"/>
    <n v="15"/>
    <n v="75300"/>
    <n v="2"/>
    <n v="3"/>
    <x v="0"/>
    <n v="8"/>
    <n v="21"/>
    <x v="0"/>
  </r>
  <r>
    <x v="71"/>
    <n v="32"/>
    <s v="Male"/>
    <x v="4"/>
    <s v="Bachelor"/>
    <n v="3"/>
    <n v="59100"/>
    <n v="4"/>
    <n v="3"/>
    <x v="0"/>
    <n v="6"/>
    <n v="28"/>
    <x v="0"/>
  </r>
  <r>
    <x v="72"/>
    <n v="44"/>
    <s v="Male"/>
    <x v="5"/>
    <s v="PhD"/>
    <n v="14"/>
    <n v="69400"/>
    <n v="4"/>
    <n v="4"/>
    <x v="1"/>
    <n v="16"/>
    <n v="22"/>
    <x v="0"/>
  </r>
  <r>
    <x v="73"/>
    <n v="22"/>
    <s v="Male"/>
    <x v="1"/>
    <s v="Master"/>
    <n v="0"/>
    <n v="39000"/>
    <n v="2"/>
    <n v="3"/>
    <x v="0"/>
    <n v="7"/>
    <n v="27"/>
    <x v="0"/>
  </r>
  <r>
    <x v="74"/>
    <n v="58"/>
    <s v="Male"/>
    <x v="2"/>
    <s v="Master"/>
    <n v="31"/>
    <n v="116800"/>
    <n v="1"/>
    <n v="2"/>
    <x v="1"/>
    <n v="12"/>
    <n v="12"/>
    <x v="0"/>
  </r>
  <r>
    <x v="75"/>
    <n v="42"/>
    <s v="Female"/>
    <x v="2"/>
    <s v="Bachelor"/>
    <n v="18"/>
    <n v="76900"/>
    <n v="4"/>
    <n v="4"/>
    <x v="1"/>
    <n v="5"/>
    <n v="25"/>
    <x v="0"/>
  </r>
  <r>
    <x v="76"/>
    <n v="47"/>
    <s v="Male"/>
    <x v="1"/>
    <s v="Bachelor"/>
    <n v="22"/>
    <n v="88100"/>
    <n v="3"/>
    <n v="3"/>
    <x v="1"/>
    <n v="8"/>
    <n v="26"/>
    <x v="0"/>
  </r>
  <r>
    <x v="77"/>
    <n v="57"/>
    <s v="Male"/>
    <x v="5"/>
    <s v="Bachelor"/>
    <n v="36"/>
    <n v="106400"/>
    <n v="1"/>
    <n v="4"/>
    <x v="1"/>
    <n v="14"/>
    <n v="29"/>
    <x v="0"/>
  </r>
  <r>
    <x v="78"/>
    <n v="44"/>
    <s v="Male"/>
    <x v="0"/>
    <s v="High School"/>
    <n v="23"/>
    <n v="105200"/>
    <n v="5"/>
    <n v="4"/>
    <x v="0"/>
    <n v="5"/>
    <n v="8"/>
    <x v="0"/>
  </r>
  <r>
    <x v="79"/>
    <n v="22"/>
    <s v="Male"/>
    <x v="5"/>
    <s v="Master"/>
    <n v="0"/>
    <n v="48400"/>
    <n v="1"/>
    <n v="3"/>
    <x v="0"/>
    <n v="7"/>
    <n v="17"/>
    <x v="0"/>
  </r>
  <r>
    <x v="80"/>
    <n v="36"/>
    <s v="Male"/>
    <x v="1"/>
    <s v="Master"/>
    <n v="8"/>
    <n v="63400"/>
    <n v="4"/>
    <n v="3"/>
    <x v="0"/>
    <n v="10"/>
    <n v="42"/>
    <x v="1"/>
  </r>
  <r>
    <x v="81"/>
    <n v="42"/>
    <s v="Female"/>
    <x v="3"/>
    <s v="PhD"/>
    <n v="20"/>
    <n v="89200"/>
    <n v="5"/>
    <n v="4"/>
    <x v="0"/>
    <n v="3"/>
    <n v="21"/>
    <x v="0"/>
  </r>
  <r>
    <x v="82"/>
    <n v="30"/>
    <s v="Female"/>
    <x v="0"/>
    <s v="PhD"/>
    <n v="6"/>
    <n v="74500"/>
    <n v="2"/>
    <n v="3"/>
    <x v="0"/>
    <n v="0"/>
    <n v="22"/>
    <x v="0"/>
  </r>
  <r>
    <x v="83"/>
    <n v="30"/>
    <s v="Male"/>
    <x v="5"/>
    <s v="Bachelor"/>
    <n v="8"/>
    <n v="51600"/>
    <n v="2"/>
    <n v="3"/>
    <x v="1"/>
    <n v="9"/>
    <n v="21"/>
    <x v="0"/>
  </r>
  <r>
    <x v="84"/>
    <n v="31"/>
    <s v="Female"/>
    <x v="0"/>
    <s v="Master"/>
    <n v="6"/>
    <n v="53600"/>
    <n v="2"/>
    <n v="4"/>
    <x v="1"/>
    <n v="11"/>
    <n v="46"/>
    <x v="0"/>
  </r>
  <r>
    <x v="85"/>
    <n v="47"/>
    <s v="Male"/>
    <x v="0"/>
    <s v="PhD"/>
    <n v="18"/>
    <n v="98200"/>
    <n v="3"/>
    <n v="3"/>
    <x v="0"/>
    <n v="1"/>
    <n v="37"/>
    <x v="0"/>
  </r>
  <r>
    <x v="86"/>
    <n v="56"/>
    <s v="Male"/>
    <x v="2"/>
    <s v="Master"/>
    <n v="35"/>
    <n v="118900"/>
    <n v="2"/>
    <n v="4"/>
    <x v="0"/>
    <n v="9"/>
    <n v="37"/>
    <x v="0"/>
  </r>
  <r>
    <x v="87"/>
    <n v="46"/>
    <s v="Female"/>
    <x v="3"/>
    <s v="Bachelor"/>
    <n v="21"/>
    <n v="89600"/>
    <n v="4"/>
    <n v="5"/>
    <x v="0"/>
    <n v="9"/>
    <n v="15"/>
    <x v="0"/>
  </r>
  <r>
    <x v="88"/>
    <n v="47"/>
    <s v="Female"/>
    <x v="1"/>
    <s v="Bachelor"/>
    <n v="18"/>
    <n v="60000"/>
    <n v="1"/>
    <n v="3"/>
    <x v="0"/>
    <n v="0"/>
    <n v="26"/>
    <x v="0"/>
  </r>
  <r>
    <x v="89"/>
    <n v="32"/>
    <s v="Male"/>
    <x v="3"/>
    <s v="Bachelor"/>
    <n v="11"/>
    <n v="61800"/>
    <n v="3"/>
    <n v="4"/>
    <x v="1"/>
    <n v="4"/>
    <n v="34"/>
    <x v="0"/>
  </r>
  <r>
    <x v="90"/>
    <n v="59"/>
    <s v="Male"/>
    <x v="5"/>
    <s v="PhD"/>
    <n v="30"/>
    <n v="107900"/>
    <n v="5"/>
    <n v="4"/>
    <x v="0"/>
    <n v="4"/>
    <n v="19"/>
    <x v="0"/>
  </r>
  <r>
    <x v="91"/>
    <n v="23"/>
    <s v="Male"/>
    <x v="2"/>
    <s v="Master"/>
    <n v="0"/>
    <n v="45200"/>
    <n v="4"/>
    <n v="5"/>
    <x v="0"/>
    <n v="5"/>
    <n v="17"/>
    <x v="0"/>
  </r>
  <r>
    <x v="92"/>
    <n v="28"/>
    <s v="Female"/>
    <x v="1"/>
    <s v="Bachelor"/>
    <n v="4"/>
    <n v="47400"/>
    <n v="4"/>
    <n v="4"/>
    <x v="0"/>
    <n v="3"/>
    <n v="47"/>
    <x v="0"/>
  </r>
  <r>
    <x v="93"/>
    <n v="39"/>
    <s v="Male"/>
    <x v="3"/>
    <s v="Master"/>
    <n v="9"/>
    <n v="62200"/>
    <n v="3"/>
    <n v="3"/>
    <x v="1"/>
    <n v="4"/>
    <n v="18"/>
    <x v="0"/>
  </r>
  <r>
    <x v="94"/>
    <n v="48"/>
    <s v="Male"/>
    <x v="1"/>
    <s v="Master"/>
    <n v="23"/>
    <n v="99300"/>
    <n v="4"/>
    <n v="3"/>
    <x v="1"/>
    <n v="14"/>
    <n v="41"/>
    <x v="0"/>
  </r>
  <r>
    <x v="95"/>
    <n v="55"/>
    <s v="Male"/>
    <x v="3"/>
    <s v="Bachelor"/>
    <n v="30"/>
    <n v="93300"/>
    <n v="3"/>
    <n v="3"/>
    <x v="0"/>
    <n v="6"/>
    <n v="34"/>
    <x v="0"/>
  </r>
  <r>
    <x v="96"/>
    <n v="48"/>
    <s v="Female"/>
    <x v="3"/>
    <s v="Bachelor"/>
    <n v="22"/>
    <n v="92200"/>
    <n v="3"/>
    <n v="3"/>
    <x v="0"/>
    <n v="3"/>
    <n v="27"/>
    <x v="0"/>
  </r>
  <r>
    <x v="97"/>
    <n v="38"/>
    <s v="Male"/>
    <x v="0"/>
    <s v="Master"/>
    <n v="11"/>
    <n v="71200"/>
    <n v="2"/>
    <n v="4"/>
    <x v="0"/>
    <n v="6"/>
    <n v="32"/>
    <x v="0"/>
  </r>
  <r>
    <x v="98"/>
    <n v="45"/>
    <s v="Male"/>
    <x v="5"/>
    <s v="Bachelor"/>
    <n v="17"/>
    <n v="62500"/>
    <n v="5"/>
    <n v="5"/>
    <x v="0"/>
    <n v="8"/>
    <n v="10"/>
    <x v="0"/>
  </r>
  <r>
    <x v="99"/>
    <n v="46"/>
    <s v="Female"/>
    <x v="5"/>
    <s v="Master"/>
    <n v="18"/>
    <n v="80700"/>
    <n v="3"/>
    <n v="3"/>
    <x v="1"/>
    <n v="8"/>
    <n v="24"/>
    <x v="0"/>
  </r>
  <r>
    <x v="100"/>
    <n v="28"/>
    <s v="Male"/>
    <x v="5"/>
    <s v="Bachelor"/>
    <n v="6"/>
    <n v="34500"/>
    <n v="2"/>
    <n v="3"/>
    <x v="0"/>
    <n v="5"/>
    <n v="39"/>
    <x v="0"/>
  </r>
  <r>
    <x v="101"/>
    <n v="27"/>
    <s v="Male"/>
    <x v="3"/>
    <s v="Master"/>
    <n v="0"/>
    <n v="44800"/>
    <n v="3"/>
    <n v="3"/>
    <x v="0"/>
    <n v="3"/>
    <n v="30"/>
    <x v="1"/>
  </r>
  <r>
    <x v="102"/>
    <n v="45"/>
    <s v="Female"/>
    <x v="0"/>
    <s v="Bachelor"/>
    <n v="18"/>
    <n v="82800"/>
    <n v="3"/>
    <n v="4"/>
    <x v="0"/>
    <n v="3"/>
    <n v="29"/>
    <x v="0"/>
  </r>
  <r>
    <x v="103"/>
    <n v="54"/>
    <s v="Male"/>
    <x v="3"/>
    <s v="Master"/>
    <n v="30"/>
    <n v="117600"/>
    <n v="4"/>
    <n v="4"/>
    <x v="1"/>
    <n v="5"/>
    <n v="48"/>
    <x v="0"/>
  </r>
  <r>
    <x v="104"/>
    <n v="50"/>
    <s v="Female"/>
    <x v="1"/>
    <s v="Master"/>
    <n v="26"/>
    <n v="104700"/>
    <n v="4"/>
    <n v="3"/>
    <x v="0"/>
    <n v="7"/>
    <n v="20"/>
    <x v="0"/>
  </r>
  <r>
    <x v="105"/>
    <n v="43"/>
    <s v="Female"/>
    <x v="4"/>
    <s v="Bachelor"/>
    <n v="15"/>
    <n v="63300"/>
    <n v="4"/>
    <n v="4"/>
    <x v="1"/>
    <n v="4"/>
    <n v="20"/>
    <x v="0"/>
  </r>
  <r>
    <x v="106"/>
    <n v="47"/>
    <s v="Male"/>
    <x v="0"/>
    <s v="Bachelor"/>
    <n v="23"/>
    <n v="89700"/>
    <n v="1"/>
    <n v="2"/>
    <x v="0"/>
    <n v="8"/>
    <n v="24"/>
    <x v="0"/>
  </r>
  <r>
    <x v="107"/>
    <n v="49"/>
    <s v="Male"/>
    <x v="2"/>
    <s v="High School"/>
    <n v="23"/>
    <n v="90200"/>
    <n v="3"/>
    <n v="4"/>
    <x v="0"/>
    <n v="12"/>
    <n v="36"/>
    <x v="0"/>
  </r>
  <r>
    <x v="108"/>
    <n v="42"/>
    <s v="Male"/>
    <x v="4"/>
    <s v="Master"/>
    <n v="17"/>
    <n v="90300"/>
    <n v="3"/>
    <n v="3"/>
    <x v="0"/>
    <n v="7"/>
    <n v="1"/>
    <x v="0"/>
  </r>
  <r>
    <x v="109"/>
    <n v="28"/>
    <s v="Male"/>
    <x v="5"/>
    <s v="Master"/>
    <n v="5"/>
    <n v="62600"/>
    <n v="1"/>
    <n v="2"/>
    <x v="0"/>
    <n v="5"/>
    <n v="25"/>
    <x v="0"/>
  </r>
  <r>
    <x v="110"/>
    <n v="38"/>
    <s v="Female"/>
    <x v="0"/>
    <s v="Master"/>
    <n v="8"/>
    <n v="78100"/>
    <n v="3"/>
    <n v="4"/>
    <x v="1"/>
    <n v="2"/>
    <n v="37"/>
    <x v="0"/>
  </r>
  <r>
    <x v="111"/>
    <n v="41"/>
    <s v="Male"/>
    <x v="4"/>
    <s v="Bachelor"/>
    <n v="19"/>
    <n v="81200"/>
    <n v="4"/>
    <n v="3"/>
    <x v="0"/>
    <n v="12"/>
    <n v="19"/>
    <x v="0"/>
  </r>
  <r>
    <x v="112"/>
    <n v="41"/>
    <s v="Female"/>
    <x v="1"/>
    <s v="Bachelor"/>
    <n v="12"/>
    <n v="64900"/>
    <n v="2"/>
    <n v="2"/>
    <x v="0"/>
    <n v="1"/>
    <n v="35"/>
    <x v="0"/>
  </r>
  <r>
    <x v="113"/>
    <n v="43"/>
    <s v="Male"/>
    <x v="1"/>
    <s v="High School"/>
    <n v="13"/>
    <n v="73700"/>
    <n v="3"/>
    <n v="4"/>
    <x v="0"/>
    <n v="9"/>
    <n v="35"/>
    <x v="0"/>
  </r>
  <r>
    <x v="114"/>
    <n v="49"/>
    <s v="Male"/>
    <x v="3"/>
    <s v="Bachelor"/>
    <n v="20"/>
    <n v="77900"/>
    <n v="2"/>
    <n v="3"/>
    <x v="0"/>
    <n v="9"/>
    <n v="48"/>
    <x v="0"/>
  </r>
  <r>
    <x v="115"/>
    <n v="28"/>
    <s v="Male"/>
    <x v="1"/>
    <s v="Master"/>
    <n v="7"/>
    <n v="61100"/>
    <n v="1"/>
    <n v="3"/>
    <x v="0"/>
    <n v="5"/>
    <n v="13"/>
    <x v="0"/>
  </r>
  <r>
    <x v="116"/>
    <n v="22"/>
    <s v="Female"/>
    <x v="1"/>
    <s v="Bachelor"/>
    <n v="0"/>
    <n v="33700"/>
    <n v="3"/>
    <n v="4"/>
    <x v="0"/>
    <n v="5"/>
    <n v="37"/>
    <x v="0"/>
  </r>
  <r>
    <x v="117"/>
    <n v="53"/>
    <s v="Male"/>
    <x v="4"/>
    <s v="Bachelor"/>
    <n v="30"/>
    <n v="102100"/>
    <n v="5"/>
    <n v="4"/>
    <x v="1"/>
    <n v="0"/>
    <n v="15"/>
    <x v="0"/>
  </r>
  <r>
    <x v="118"/>
    <n v="34"/>
    <s v="Male"/>
    <x v="1"/>
    <s v="Master"/>
    <n v="6"/>
    <n v="56500"/>
    <n v="4"/>
    <n v="4"/>
    <x v="0"/>
    <n v="7"/>
    <n v="8"/>
    <x v="1"/>
  </r>
  <r>
    <x v="119"/>
    <n v="51"/>
    <s v="Male"/>
    <x v="3"/>
    <s v="Bachelor"/>
    <n v="25"/>
    <n v="86200"/>
    <n v="5"/>
    <n v="4"/>
    <x v="0"/>
    <n v="8"/>
    <n v="3"/>
    <x v="0"/>
  </r>
  <r>
    <x v="120"/>
    <n v="44"/>
    <s v="Male"/>
    <x v="1"/>
    <s v="Bachelor"/>
    <n v="19"/>
    <n v="76900"/>
    <n v="3"/>
    <n v="4"/>
    <x v="1"/>
    <n v="3"/>
    <n v="33"/>
    <x v="0"/>
  </r>
  <r>
    <x v="121"/>
    <n v="40"/>
    <s v="Female"/>
    <x v="1"/>
    <s v="Master"/>
    <n v="15"/>
    <n v="68800"/>
    <n v="2"/>
    <n v="4"/>
    <x v="0"/>
    <n v="5"/>
    <n v="29"/>
    <x v="0"/>
  </r>
  <r>
    <x v="122"/>
    <n v="53"/>
    <s v="Male"/>
    <x v="0"/>
    <s v="Bachelor"/>
    <n v="27"/>
    <n v="103100"/>
    <n v="4"/>
    <n v="3"/>
    <x v="1"/>
    <n v="8"/>
    <n v="16"/>
    <x v="0"/>
  </r>
  <r>
    <x v="123"/>
    <n v="51"/>
    <s v="Female"/>
    <x v="5"/>
    <s v="Master"/>
    <n v="24"/>
    <n v="98900"/>
    <n v="3"/>
    <n v="3"/>
    <x v="0"/>
    <n v="8"/>
    <n v="1"/>
    <x v="0"/>
  </r>
  <r>
    <x v="124"/>
    <n v="50"/>
    <s v="Female"/>
    <x v="4"/>
    <s v="Master"/>
    <n v="29"/>
    <n v="106700"/>
    <n v="4"/>
    <n v="4"/>
    <x v="1"/>
    <n v="8"/>
    <n v="19"/>
    <x v="0"/>
  </r>
  <r>
    <x v="125"/>
    <n v="50"/>
    <s v="Female"/>
    <x v="0"/>
    <s v="PhD"/>
    <n v="21"/>
    <n v="105300"/>
    <n v="2"/>
    <n v="3"/>
    <x v="0"/>
    <n v="0"/>
    <n v="22"/>
    <x v="0"/>
  </r>
  <r>
    <x v="126"/>
    <n v="51"/>
    <s v="Female"/>
    <x v="1"/>
    <s v="Bachelor"/>
    <n v="28"/>
    <n v="98600"/>
    <n v="3"/>
    <n v="4"/>
    <x v="1"/>
    <n v="5"/>
    <n v="37"/>
    <x v="0"/>
  </r>
  <r>
    <x v="127"/>
    <n v="37"/>
    <s v="Female"/>
    <x v="1"/>
    <s v="Master"/>
    <n v="13"/>
    <n v="74800"/>
    <n v="2"/>
    <n v="3"/>
    <x v="1"/>
    <n v="8"/>
    <n v="22"/>
    <x v="0"/>
  </r>
  <r>
    <x v="128"/>
    <n v="40"/>
    <s v="Female"/>
    <x v="5"/>
    <s v="Bachelor"/>
    <n v="10"/>
    <n v="57100"/>
    <n v="3"/>
    <n v="2"/>
    <x v="0"/>
    <n v="9"/>
    <n v="25"/>
    <x v="0"/>
  </r>
  <r>
    <x v="129"/>
    <n v="39"/>
    <s v="Male"/>
    <x v="3"/>
    <s v="Bachelor"/>
    <n v="18"/>
    <n v="83200"/>
    <n v="4"/>
    <n v="4"/>
    <x v="1"/>
    <n v="5"/>
    <n v="22"/>
    <x v="0"/>
  </r>
  <r>
    <x v="130"/>
    <n v="22"/>
    <s v="Female"/>
    <x v="0"/>
    <s v="Bachelor"/>
    <n v="0"/>
    <n v="30300"/>
    <n v="3"/>
    <n v="4"/>
    <x v="0"/>
    <n v="15"/>
    <n v="48"/>
    <x v="0"/>
  </r>
  <r>
    <x v="131"/>
    <n v="35"/>
    <s v="Female"/>
    <x v="4"/>
    <s v="PhD"/>
    <n v="12"/>
    <n v="101000"/>
    <n v="3"/>
    <n v="4"/>
    <x v="0"/>
    <n v="0"/>
    <n v="15"/>
    <x v="0"/>
  </r>
  <r>
    <x v="132"/>
    <n v="23"/>
    <s v="Female"/>
    <x v="5"/>
    <s v="Bachelor"/>
    <n v="1"/>
    <n v="32100"/>
    <n v="3"/>
    <n v="4"/>
    <x v="0"/>
    <n v="4"/>
    <n v="19"/>
    <x v="0"/>
  </r>
  <r>
    <x v="133"/>
    <n v="49"/>
    <s v="Male"/>
    <x v="0"/>
    <s v="Bachelor"/>
    <n v="27"/>
    <n v="107200"/>
    <n v="3"/>
    <n v="4"/>
    <x v="0"/>
    <n v="6"/>
    <n v="21"/>
    <x v="0"/>
  </r>
  <r>
    <x v="134"/>
    <n v="51"/>
    <s v="Male"/>
    <x v="1"/>
    <s v="Master"/>
    <n v="30"/>
    <n v="102400"/>
    <n v="4"/>
    <n v="4"/>
    <x v="0"/>
    <n v="5"/>
    <n v="34"/>
    <x v="0"/>
  </r>
  <r>
    <x v="135"/>
    <n v="59"/>
    <s v="Female"/>
    <x v="0"/>
    <s v="Bachelor"/>
    <n v="31"/>
    <n v="117700"/>
    <n v="5"/>
    <n v="4"/>
    <x v="0"/>
    <n v="1"/>
    <n v="15"/>
    <x v="0"/>
  </r>
  <r>
    <x v="136"/>
    <n v="25"/>
    <s v="Male"/>
    <x v="3"/>
    <s v="High School"/>
    <n v="2"/>
    <n v="42300"/>
    <n v="5"/>
    <n v="3"/>
    <x v="0"/>
    <n v="8"/>
    <n v="24"/>
    <x v="0"/>
  </r>
  <r>
    <x v="137"/>
    <n v="22"/>
    <s v="Female"/>
    <x v="2"/>
    <s v="Bachelor"/>
    <n v="0"/>
    <n v="31400"/>
    <n v="4"/>
    <n v="4"/>
    <x v="1"/>
    <n v="9"/>
    <n v="29"/>
    <x v="0"/>
  </r>
  <r>
    <x v="138"/>
    <n v="29"/>
    <s v="Female"/>
    <x v="0"/>
    <s v="Bachelor"/>
    <n v="3"/>
    <n v="59100"/>
    <n v="3"/>
    <n v="4"/>
    <x v="1"/>
    <n v="8"/>
    <n v="19"/>
    <x v="0"/>
  </r>
  <r>
    <x v="139"/>
    <n v="50"/>
    <s v="Male"/>
    <x v="1"/>
    <s v="Bachelor"/>
    <n v="22"/>
    <n v="83300"/>
    <n v="4"/>
    <n v="4"/>
    <x v="0"/>
    <n v="7"/>
    <n v="31"/>
    <x v="0"/>
  </r>
  <r>
    <x v="140"/>
    <n v="60"/>
    <s v="Female"/>
    <x v="1"/>
    <s v="Bachelor"/>
    <n v="31"/>
    <n v="108000"/>
    <n v="3"/>
    <n v="4"/>
    <x v="0"/>
    <n v="4"/>
    <n v="15"/>
    <x v="0"/>
  </r>
  <r>
    <x v="141"/>
    <n v="24"/>
    <s v="Male"/>
    <x v="4"/>
    <s v="Master"/>
    <n v="0"/>
    <n v="40600"/>
    <n v="3"/>
    <n v="3"/>
    <x v="0"/>
    <n v="0"/>
    <n v="9"/>
    <x v="0"/>
  </r>
  <r>
    <x v="142"/>
    <n v="53"/>
    <s v="Male"/>
    <x v="3"/>
    <s v="Bachelor"/>
    <n v="29"/>
    <n v="99600"/>
    <n v="4"/>
    <n v="4"/>
    <x v="0"/>
    <n v="3"/>
    <n v="28"/>
    <x v="0"/>
  </r>
  <r>
    <x v="143"/>
    <n v="31"/>
    <s v="Female"/>
    <x v="0"/>
    <s v="Bachelor"/>
    <n v="6"/>
    <n v="72200"/>
    <n v="1"/>
    <n v="3"/>
    <x v="0"/>
    <n v="7"/>
    <n v="2"/>
    <x v="0"/>
  </r>
  <r>
    <x v="144"/>
    <n v="31"/>
    <s v="Female"/>
    <x v="0"/>
    <s v="Master"/>
    <n v="9"/>
    <n v="78500"/>
    <n v="5"/>
    <n v="4"/>
    <x v="0"/>
    <n v="7"/>
    <n v="1"/>
    <x v="0"/>
  </r>
  <r>
    <x v="145"/>
    <n v="40"/>
    <s v="Male"/>
    <x v="5"/>
    <s v="Bachelor"/>
    <n v="11"/>
    <n v="62400"/>
    <n v="3"/>
    <n v="3"/>
    <x v="0"/>
    <n v="6"/>
    <n v="28"/>
    <x v="0"/>
  </r>
  <r>
    <x v="146"/>
    <n v="55"/>
    <s v="Female"/>
    <x v="3"/>
    <s v="Master"/>
    <n v="27"/>
    <n v="99300"/>
    <n v="4"/>
    <n v="4"/>
    <x v="1"/>
    <n v="10"/>
    <n v="40"/>
    <x v="0"/>
  </r>
  <r>
    <x v="147"/>
    <n v="54"/>
    <s v="Female"/>
    <x v="3"/>
    <s v="Bachelor"/>
    <n v="31"/>
    <n v="104700"/>
    <n v="4"/>
    <n v="4"/>
    <x v="0"/>
    <n v="4"/>
    <n v="21"/>
    <x v="0"/>
  </r>
  <r>
    <x v="148"/>
    <n v="44"/>
    <s v="Female"/>
    <x v="5"/>
    <s v="Bachelor"/>
    <n v="15"/>
    <n v="70400"/>
    <n v="5"/>
    <n v="4"/>
    <x v="0"/>
    <n v="6"/>
    <n v="19"/>
    <x v="0"/>
  </r>
  <r>
    <x v="149"/>
    <n v="49"/>
    <s v="Male"/>
    <x v="0"/>
    <s v="High School"/>
    <n v="26"/>
    <n v="105300"/>
    <n v="4"/>
    <n v="3"/>
    <x v="0"/>
    <n v="8"/>
    <n v="34"/>
    <x v="0"/>
  </r>
  <r>
    <x v="150"/>
    <n v="53"/>
    <s v="Male"/>
    <x v="1"/>
    <s v="Bachelor"/>
    <n v="24"/>
    <n v="81300"/>
    <n v="4"/>
    <n v="3"/>
    <x v="0"/>
    <n v="6"/>
    <n v="8"/>
    <x v="0"/>
  </r>
  <r>
    <x v="151"/>
    <n v="28"/>
    <s v="Female"/>
    <x v="4"/>
    <s v="Bachelor"/>
    <n v="6"/>
    <n v="57900"/>
    <n v="1"/>
    <n v="3"/>
    <x v="0"/>
    <n v="1"/>
    <n v="6"/>
    <x v="0"/>
  </r>
  <r>
    <x v="152"/>
    <n v="50"/>
    <s v="Male"/>
    <x v="4"/>
    <s v="Bachelor"/>
    <n v="20"/>
    <n v="76400"/>
    <n v="3"/>
    <n v="4"/>
    <x v="1"/>
    <n v="4"/>
    <n v="35"/>
    <x v="0"/>
  </r>
  <r>
    <x v="153"/>
    <n v="29"/>
    <s v="Male"/>
    <x v="3"/>
    <s v="Bachelor"/>
    <n v="0"/>
    <n v="47400"/>
    <n v="2"/>
    <n v="3"/>
    <x v="0"/>
    <n v="9"/>
    <n v="22"/>
    <x v="0"/>
  </r>
  <r>
    <x v="154"/>
    <n v="22"/>
    <s v="Male"/>
    <x v="1"/>
    <s v="Bachelor"/>
    <n v="0"/>
    <n v="30600"/>
    <n v="4"/>
    <n v="4"/>
    <x v="0"/>
    <n v="12"/>
    <n v="40"/>
    <x v="0"/>
  </r>
  <r>
    <x v="155"/>
    <n v="24"/>
    <s v="Male"/>
    <x v="4"/>
    <s v="Bachelor"/>
    <n v="0"/>
    <n v="42100"/>
    <n v="3"/>
    <n v="3"/>
    <x v="1"/>
    <n v="12"/>
    <n v="0"/>
    <x v="1"/>
  </r>
  <r>
    <x v="156"/>
    <n v="45"/>
    <s v="Male"/>
    <x v="2"/>
    <s v="Bachelor"/>
    <n v="20"/>
    <n v="87000"/>
    <n v="4"/>
    <n v="4"/>
    <x v="1"/>
    <n v="8"/>
    <n v="10"/>
    <x v="0"/>
  </r>
  <r>
    <x v="157"/>
    <n v="44"/>
    <s v="Female"/>
    <x v="1"/>
    <s v="Bachelor"/>
    <n v="22"/>
    <n v="82600"/>
    <n v="1"/>
    <n v="3"/>
    <x v="1"/>
    <n v="3"/>
    <n v="22"/>
    <x v="0"/>
  </r>
  <r>
    <x v="158"/>
    <n v="29"/>
    <s v="Female"/>
    <x v="4"/>
    <s v="Bachelor"/>
    <n v="1"/>
    <n v="44600"/>
    <n v="2"/>
    <n v="4"/>
    <x v="0"/>
    <n v="6"/>
    <n v="32"/>
    <x v="0"/>
  </r>
  <r>
    <x v="159"/>
    <n v="58"/>
    <s v="Female"/>
    <x v="2"/>
    <s v="Master"/>
    <n v="32"/>
    <n v="123400"/>
    <n v="4"/>
    <n v="5"/>
    <x v="1"/>
    <n v="14"/>
    <n v="37"/>
    <x v="0"/>
  </r>
  <r>
    <x v="160"/>
    <n v="24"/>
    <s v="Male"/>
    <x v="0"/>
    <s v="High School"/>
    <n v="0"/>
    <n v="49000"/>
    <n v="1"/>
    <n v="2"/>
    <x v="0"/>
    <n v="8"/>
    <n v="24"/>
    <x v="0"/>
  </r>
  <r>
    <x v="161"/>
    <n v="54"/>
    <s v="Male"/>
    <x v="3"/>
    <s v="Master"/>
    <n v="29"/>
    <n v="109300"/>
    <n v="1"/>
    <n v="3"/>
    <x v="0"/>
    <n v="5"/>
    <n v="24"/>
    <x v="0"/>
  </r>
  <r>
    <x v="162"/>
    <n v="49"/>
    <s v="Female"/>
    <x v="3"/>
    <s v="Master"/>
    <n v="19"/>
    <n v="73000"/>
    <n v="1"/>
    <n v="3"/>
    <x v="0"/>
    <n v="9"/>
    <n v="17"/>
    <x v="0"/>
  </r>
  <r>
    <x v="163"/>
    <n v="29"/>
    <s v="Male"/>
    <x v="3"/>
    <s v="Bachelor"/>
    <n v="7"/>
    <n v="44900"/>
    <n v="5"/>
    <n v="4"/>
    <x v="0"/>
    <n v="1"/>
    <n v="46"/>
    <x v="0"/>
  </r>
  <r>
    <x v="164"/>
    <n v="55"/>
    <s v="Female"/>
    <x v="5"/>
    <s v="Master"/>
    <n v="29"/>
    <n v="114100"/>
    <n v="4"/>
    <n v="5"/>
    <x v="0"/>
    <n v="3"/>
    <n v="14"/>
    <x v="0"/>
  </r>
  <r>
    <x v="165"/>
    <n v="56"/>
    <s v="Female"/>
    <x v="1"/>
    <s v="Master"/>
    <n v="31"/>
    <n v="115200"/>
    <n v="3"/>
    <n v="4"/>
    <x v="0"/>
    <n v="2"/>
    <n v="31"/>
    <x v="0"/>
  </r>
  <r>
    <x v="166"/>
    <n v="53"/>
    <s v="Female"/>
    <x v="0"/>
    <s v="High School"/>
    <n v="28"/>
    <n v="111700"/>
    <n v="3"/>
    <n v="3"/>
    <x v="1"/>
    <n v="9"/>
    <n v="10"/>
    <x v="0"/>
  </r>
  <r>
    <x v="167"/>
    <n v="45"/>
    <s v="Male"/>
    <x v="4"/>
    <s v="Bachelor"/>
    <n v="24"/>
    <n v="97200"/>
    <n v="3"/>
    <n v="4"/>
    <x v="1"/>
    <n v="10"/>
    <n v="33"/>
    <x v="0"/>
  </r>
  <r>
    <x v="168"/>
    <n v="35"/>
    <s v="Male"/>
    <x v="5"/>
    <s v="Master"/>
    <n v="13"/>
    <n v="80600"/>
    <n v="4"/>
    <n v="4"/>
    <x v="1"/>
    <n v="7"/>
    <n v="15"/>
    <x v="0"/>
  </r>
  <r>
    <x v="169"/>
    <n v="53"/>
    <s v="Female"/>
    <x v="3"/>
    <s v="Master"/>
    <n v="25"/>
    <n v="96200"/>
    <n v="4"/>
    <n v="4"/>
    <x v="0"/>
    <n v="3"/>
    <n v="36"/>
    <x v="0"/>
  </r>
  <r>
    <x v="170"/>
    <n v="37"/>
    <s v="Female"/>
    <x v="2"/>
    <s v="Bachelor"/>
    <n v="14"/>
    <n v="67600"/>
    <n v="2"/>
    <n v="4"/>
    <x v="1"/>
    <n v="7"/>
    <n v="28"/>
    <x v="1"/>
  </r>
  <r>
    <x v="171"/>
    <n v="25"/>
    <s v="Female"/>
    <x v="5"/>
    <s v="Bachelor"/>
    <n v="0"/>
    <n v="28800"/>
    <n v="2"/>
    <n v="3"/>
    <x v="0"/>
    <n v="4"/>
    <n v="43"/>
    <x v="0"/>
  </r>
  <r>
    <x v="172"/>
    <n v="58"/>
    <s v="Female"/>
    <x v="3"/>
    <s v="Bachelor"/>
    <n v="35"/>
    <n v="104100"/>
    <n v="2"/>
    <n v="3"/>
    <x v="1"/>
    <n v="4"/>
    <n v="19"/>
    <x v="0"/>
  </r>
  <r>
    <x v="173"/>
    <n v="42"/>
    <s v="Male"/>
    <x v="4"/>
    <s v="Bachelor"/>
    <n v="14"/>
    <n v="59300"/>
    <n v="4"/>
    <n v="3"/>
    <x v="0"/>
    <n v="7"/>
    <n v="27"/>
    <x v="0"/>
  </r>
  <r>
    <x v="174"/>
    <n v="35"/>
    <s v="Male"/>
    <x v="2"/>
    <s v="Master"/>
    <n v="7"/>
    <n v="52200"/>
    <n v="4"/>
    <n v="4"/>
    <x v="1"/>
    <n v="4"/>
    <n v="18"/>
    <x v="0"/>
  </r>
  <r>
    <x v="175"/>
    <n v="52"/>
    <s v="Female"/>
    <x v="4"/>
    <s v="Bachelor"/>
    <n v="30"/>
    <n v="116900"/>
    <n v="3"/>
    <n v="4"/>
    <x v="0"/>
    <n v="0"/>
    <n v="24"/>
    <x v="0"/>
  </r>
  <r>
    <x v="176"/>
    <n v="39"/>
    <s v="Female"/>
    <x v="2"/>
    <s v="Bachelor"/>
    <n v="11"/>
    <n v="49300"/>
    <n v="1"/>
    <n v="3"/>
    <x v="1"/>
    <n v="2"/>
    <n v="23"/>
    <x v="1"/>
  </r>
  <r>
    <x v="177"/>
    <n v="28"/>
    <s v="Male"/>
    <x v="0"/>
    <s v="Master"/>
    <n v="7"/>
    <n v="65300"/>
    <n v="2"/>
    <n v="2"/>
    <x v="1"/>
    <n v="1"/>
    <n v="4"/>
    <x v="1"/>
  </r>
  <r>
    <x v="178"/>
    <n v="31"/>
    <s v="Male"/>
    <x v="1"/>
    <s v="High School"/>
    <n v="5"/>
    <n v="37900"/>
    <n v="5"/>
    <n v="4"/>
    <x v="0"/>
    <n v="7"/>
    <n v="10"/>
    <x v="0"/>
  </r>
  <r>
    <x v="179"/>
    <n v="28"/>
    <s v="Female"/>
    <x v="4"/>
    <s v="Bachelor"/>
    <n v="0"/>
    <n v="35800"/>
    <n v="3"/>
    <n v="4"/>
    <x v="0"/>
    <n v="7"/>
    <n v="34"/>
    <x v="0"/>
  </r>
  <r>
    <x v="180"/>
    <n v="54"/>
    <s v="Female"/>
    <x v="0"/>
    <s v="Master"/>
    <n v="31"/>
    <n v="121400"/>
    <n v="4"/>
    <n v="4"/>
    <x v="1"/>
    <n v="8"/>
    <n v="25"/>
    <x v="0"/>
  </r>
  <r>
    <x v="181"/>
    <n v="44"/>
    <s v="Female"/>
    <x v="5"/>
    <s v="Master"/>
    <n v="16"/>
    <n v="73300"/>
    <n v="4"/>
    <n v="3"/>
    <x v="0"/>
    <n v="8"/>
    <n v="15"/>
    <x v="0"/>
  </r>
  <r>
    <x v="182"/>
    <n v="42"/>
    <s v="Male"/>
    <x v="1"/>
    <s v="Bachelor"/>
    <n v="21"/>
    <n v="89800"/>
    <n v="3"/>
    <n v="3"/>
    <x v="1"/>
    <n v="12"/>
    <n v="13"/>
    <x v="0"/>
  </r>
  <r>
    <x v="183"/>
    <n v="40"/>
    <s v="Male"/>
    <x v="1"/>
    <s v="Bachelor"/>
    <n v="11"/>
    <n v="70900"/>
    <n v="2"/>
    <n v="3"/>
    <x v="0"/>
    <n v="4"/>
    <n v="14"/>
    <x v="0"/>
  </r>
  <r>
    <x v="184"/>
    <n v="40"/>
    <s v="Male"/>
    <x v="4"/>
    <s v="Bachelor"/>
    <n v="11"/>
    <n v="48500"/>
    <n v="2"/>
    <n v="3"/>
    <x v="0"/>
    <n v="8"/>
    <n v="23"/>
    <x v="0"/>
  </r>
  <r>
    <x v="185"/>
    <n v="57"/>
    <s v="Female"/>
    <x v="2"/>
    <s v="Bachelor"/>
    <n v="32"/>
    <n v="101600"/>
    <n v="4"/>
    <n v="2"/>
    <x v="0"/>
    <n v="0"/>
    <n v="27"/>
    <x v="0"/>
  </r>
  <r>
    <x v="186"/>
    <n v="50"/>
    <s v="Female"/>
    <x v="1"/>
    <s v="Bachelor"/>
    <n v="20"/>
    <n v="80400"/>
    <n v="4"/>
    <n v="4"/>
    <x v="0"/>
    <n v="12"/>
    <n v="2"/>
    <x v="0"/>
  </r>
  <r>
    <x v="187"/>
    <n v="39"/>
    <s v="Male"/>
    <x v="3"/>
    <s v="Bachelor"/>
    <n v="15"/>
    <n v="76900"/>
    <n v="4"/>
    <n v="5"/>
    <x v="1"/>
    <n v="3"/>
    <n v="44"/>
    <x v="0"/>
  </r>
  <r>
    <x v="188"/>
    <n v="23"/>
    <s v="Male"/>
    <x v="3"/>
    <s v="Bachelor"/>
    <n v="0"/>
    <n v="32800"/>
    <n v="3"/>
    <n v="2"/>
    <x v="0"/>
    <n v="3"/>
    <n v="38"/>
    <x v="0"/>
  </r>
  <r>
    <x v="189"/>
    <n v="22"/>
    <s v="Female"/>
    <x v="4"/>
    <s v="Bachelor"/>
    <n v="0"/>
    <n v="39900"/>
    <n v="1"/>
    <n v="4"/>
    <x v="0"/>
    <n v="4"/>
    <n v="0"/>
    <x v="1"/>
  </r>
  <r>
    <x v="190"/>
    <n v="26"/>
    <s v="Male"/>
    <x v="5"/>
    <s v="High School"/>
    <n v="1"/>
    <n v="30100"/>
    <n v="5"/>
    <n v="4"/>
    <x v="0"/>
    <n v="0"/>
    <n v="40"/>
    <x v="0"/>
  </r>
  <r>
    <x v="191"/>
    <n v="41"/>
    <s v="Male"/>
    <x v="1"/>
    <s v="Bachelor"/>
    <n v="11"/>
    <n v="49500"/>
    <n v="4"/>
    <n v="5"/>
    <x v="0"/>
    <n v="6"/>
    <n v="40"/>
    <x v="0"/>
  </r>
  <r>
    <x v="192"/>
    <n v="32"/>
    <s v="Female"/>
    <x v="1"/>
    <s v="Bachelor"/>
    <n v="3"/>
    <n v="52700"/>
    <n v="3"/>
    <n v="3"/>
    <x v="1"/>
    <n v="8"/>
    <n v="22"/>
    <x v="0"/>
  </r>
  <r>
    <x v="193"/>
    <n v="23"/>
    <s v="Male"/>
    <x v="3"/>
    <s v="Bachelor"/>
    <n v="0"/>
    <n v="28000"/>
    <n v="5"/>
    <n v="4"/>
    <x v="1"/>
    <n v="7"/>
    <n v="11"/>
    <x v="1"/>
  </r>
  <r>
    <x v="194"/>
    <n v="24"/>
    <s v="Female"/>
    <x v="0"/>
    <s v="Bachelor"/>
    <n v="0"/>
    <n v="61300"/>
    <n v="4"/>
    <n v="4"/>
    <x v="0"/>
    <n v="0"/>
    <n v="39"/>
    <x v="0"/>
  </r>
  <r>
    <x v="195"/>
    <n v="44"/>
    <s v="Female"/>
    <x v="0"/>
    <s v="Master"/>
    <n v="14"/>
    <n v="87900"/>
    <n v="4"/>
    <n v="3"/>
    <x v="1"/>
    <n v="15"/>
    <n v="19"/>
    <x v="0"/>
  </r>
  <r>
    <x v="196"/>
    <n v="33"/>
    <s v="Female"/>
    <x v="2"/>
    <s v="Master"/>
    <n v="3"/>
    <n v="54400"/>
    <n v="4"/>
    <n v="5"/>
    <x v="1"/>
    <n v="10"/>
    <n v="34"/>
    <x v="0"/>
  </r>
  <r>
    <x v="197"/>
    <n v="41"/>
    <s v="Female"/>
    <x v="1"/>
    <s v="Master"/>
    <n v="16"/>
    <n v="82200"/>
    <n v="4"/>
    <n v="3"/>
    <x v="0"/>
    <n v="17"/>
    <n v="49"/>
    <x v="0"/>
  </r>
  <r>
    <x v="198"/>
    <n v="26"/>
    <s v="Female"/>
    <x v="1"/>
    <s v="Master"/>
    <n v="0"/>
    <n v="41200"/>
    <n v="4"/>
    <n v="4"/>
    <x v="1"/>
    <n v="4"/>
    <n v="30"/>
    <x v="0"/>
  </r>
  <r>
    <x v="199"/>
    <n v="58"/>
    <s v="Female"/>
    <x v="1"/>
    <s v="Bachelor"/>
    <n v="36"/>
    <n v="117900"/>
    <n v="2"/>
    <n v="3"/>
    <x v="0"/>
    <n v="10"/>
    <n v="11"/>
    <x v="0"/>
  </r>
  <r>
    <x v="200"/>
    <n v="59"/>
    <s v="Female"/>
    <x v="2"/>
    <s v="Bachelor"/>
    <n v="35"/>
    <n v="111700"/>
    <n v="3"/>
    <n v="3"/>
    <x v="0"/>
    <n v="9"/>
    <n v="18"/>
    <x v="0"/>
  </r>
  <r>
    <x v="201"/>
    <n v="51"/>
    <s v="Male"/>
    <x v="5"/>
    <s v="Bachelor"/>
    <n v="29"/>
    <n v="103700"/>
    <n v="5"/>
    <n v="5"/>
    <x v="1"/>
    <n v="6"/>
    <n v="18"/>
    <x v="0"/>
  </r>
  <r>
    <x v="202"/>
    <n v="30"/>
    <s v="Female"/>
    <x v="4"/>
    <s v="Master"/>
    <n v="3"/>
    <n v="53400"/>
    <n v="2"/>
    <n v="4"/>
    <x v="0"/>
    <n v="12"/>
    <n v="32"/>
    <x v="0"/>
  </r>
  <r>
    <x v="203"/>
    <n v="55"/>
    <s v="Female"/>
    <x v="1"/>
    <s v="Master"/>
    <n v="33"/>
    <n v="108900"/>
    <n v="3"/>
    <n v="4"/>
    <x v="1"/>
    <n v="6"/>
    <n v="17"/>
    <x v="0"/>
  </r>
  <r>
    <x v="204"/>
    <n v="56"/>
    <s v="Male"/>
    <x v="3"/>
    <s v="Bachelor"/>
    <n v="35"/>
    <n v="106900"/>
    <n v="3"/>
    <n v="2"/>
    <x v="1"/>
    <n v="6"/>
    <n v="16"/>
    <x v="0"/>
  </r>
  <r>
    <x v="205"/>
    <n v="43"/>
    <s v="Male"/>
    <x v="5"/>
    <s v="Bachelor"/>
    <n v="14"/>
    <n v="59900"/>
    <n v="3"/>
    <n v="4"/>
    <x v="0"/>
    <n v="0"/>
    <n v="12"/>
    <x v="0"/>
  </r>
  <r>
    <x v="206"/>
    <n v="45"/>
    <s v="Male"/>
    <x v="5"/>
    <s v="Bachelor"/>
    <n v="24"/>
    <n v="95600"/>
    <n v="4"/>
    <n v="4"/>
    <x v="1"/>
    <n v="9"/>
    <n v="25"/>
    <x v="0"/>
  </r>
  <r>
    <x v="207"/>
    <n v="38"/>
    <s v="Female"/>
    <x v="2"/>
    <s v="Bachelor"/>
    <n v="10"/>
    <n v="53700"/>
    <n v="5"/>
    <n v="3"/>
    <x v="0"/>
    <n v="1"/>
    <n v="24"/>
    <x v="0"/>
  </r>
  <r>
    <x v="208"/>
    <n v="31"/>
    <s v="Male"/>
    <x v="5"/>
    <s v="Master"/>
    <n v="9"/>
    <n v="49400"/>
    <n v="3"/>
    <n v="4"/>
    <x v="0"/>
    <n v="4"/>
    <n v="0"/>
    <x v="0"/>
  </r>
  <r>
    <x v="209"/>
    <n v="51"/>
    <s v="Female"/>
    <x v="4"/>
    <s v="Master"/>
    <n v="23"/>
    <n v="100400"/>
    <n v="2"/>
    <n v="4"/>
    <x v="1"/>
    <n v="3"/>
    <n v="30"/>
    <x v="0"/>
  </r>
  <r>
    <x v="210"/>
    <n v="44"/>
    <s v="Female"/>
    <x v="3"/>
    <s v="Bachelor"/>
    <n v="21"/>
    <n v="92800"/>
    <n v="2"/>
    <n v="2"/>
    <x v="1"/>
    <n v="6"/>
    <n v="21"/>
    <x v="0"/>
  </r>
  <r>
    <x v="211"/>
    <n v="53"/>
    <s v="Female"/>
    <x v="2"/>
    <s v="PhD"/>
    <n v="27"/>
    <n v="114800"/>
    <n v="5"/>
    <n v="5"/>
    <x v="0"/>
    <n v="8"/>
    <n v="18"/>
    <x v="0"/>
  </r>
  <r>
    <x v="212"/>
    <n v="38"/>
    <s v="Female"/>
    <x v="2"/>
    <s v="Master"/>
    <n v="15"/>
    <n v="71800"/>
    <n v="4"/>
    <n v="4"/>
    <x v="0"/>
    <n v="6"/>
    <n v="51"/>
    <x v="0"/>
  </r>
  <r>
    <x v="213"/>
    <n v="38"/>
    <s v="Male"/>
    <x v="4"/>
    <s v="Bachelor"/>
    <n v="11"/>
    <n v="53100"/>
    <n v="3"/>
    <n v="4"/>
    <x v="1"/>
    <n v="10"/>
    <n v="39"/>
    <x v="0"/>
  </r>
  <r>
    <x v="214"/>
    <n v="35"/>
    <s v="Male"/>
    <x v="2"/>
    <s v="Bachelor"/>
    <n v="5"/>
    <n v="46100"/>
    <n v="4"/>
    <n v="3"/>
    <x v="1"/>
    <n v="13"/>
    <n v="9"/>
    <x v="0"/>
  </r>
  <r>
    <x v="215"/>
    <n v="30"/>
    <s v="Female"/>
    <x v="4"/>
    <s v="Bachelor"/>
    <n v="1"/>
    <n v="41100"/>
    <n v="5"/>
    <n v="4"/>
    <x v="1"/>
    <n v="6"/>
    <n v="37"/>
    <x v="0"/>
  </r>
  <r>
    <x v="216"/>
    <n v="23"/>
    <s v="Female"/>
    <x v="0"/>
    <s v="Bachelor"/>
    <n v="1"/>
    <n v="40400"/>
    <n v="4"/>
    <n v="3"/>
    <x v="0"/>
    <n v="4"/>
    <n v="37"/>
    <x v="0"/>
  </r>
  <r>
    <x v="217"/>
    <n v="46"/>
    <s v="Female"/>
    <x v="2"/>
    <s v="Bachelor"/>
    <n v="21"/>
    <n v="86100"/>
    <n v="5"/>
    <n v="3"/>
    <x v="0"/>
    <n v="10"/>
    <n v="24"/>
    <x v="0"/>
  </r>
  <r>
    <x v="218"/>
    <n v="60"/>
    <s v="Male"/>
    <x v="2"/>
    <s v="Bachelor"/>
    <n v="34"/>
    <n v="123700"/>
    <n v="3"/>
    <n v="4"/>
    <x v="0"/>
    <n v="10"/>
    <n v="31"/>
    <x v="0"/>
  </r>
  <r>
    <x v="219"/>
    <n v="30"/>
    <s v="Female"/>
    <x v="1"/>
    <s v="Bachelor"/>
    <n v="6"/>
    <n v="50800"/>
    <n v="4"/>
    <n v="5"/>
    <x v="1"/>
    <n v="10"/>
    <n v="31"/>
    <x v="0"/>
  </r>
  <r>
    <x v="220"/>
    <n v="43"/>
    <s v="Female"/>
    <x v="2"/>
    <s v="Bachelor"/>
    <n v="19"/>
    <n v="78900"/>
    <n v="3"/>
    <n v="4"/>
    <x v="0"/>
    <n v="2"/>
    <n v="2"/>
    <x v="0"/>
  </r>
  <r>
    <x v="221"/>
    <n v="25"/>
    <s v="Male"/>
    <x v="3"/>
    <s v="Master"/>
    <n v="1"/>
    <n v="38600"/>
    <n v="4"/>
    <n v="4"/>
    <x v="0"/>
    <n v="8"/>
    <n v="25"/>
    <x v="0"/>
  </r>
  <r>
    <x v="222"/>
    <n v="47"/>
    <s v="Male"/>
    <x v="5"/>
    <s v="Bachelor"/>
    <n v="25"/>
    <n v="100800"/>
    <n v="4"/>
    <n v="4"/>
    <x v="1"/>
    <n v="8"/>
    <n v="24"/>
    <x v="0"/>
  </r>
  <r>
    <x v="223"/>
    <n v="50"/>
    <s v="Female"/>
    <x v="0"/>
    <s v="Bachelor"/>
    <n v="26"/>
    <n v="101700"/>
    <n v="4"/>
    <n v="3"/>
    <x v="0"/>
    <n v="10"/>
    <n v="39"/>
    <x v="0"/>
  </r>
  <r>
    <x v="224"/>
    <n v="55"/>
    <s v="Male"/>
    <x v="0"/>
    <s v="Bachelor"/>
    <n v="34"/>
    <n v="115700"/>
    <n v="4"/>
    <n v="4"/>
    <x v="1"/>
    <n v="5"/>
    <n v="31"/>
    <x v="0"/>
  </r>
  <r>
    <x v="225"/>
    <n v="44"/>
    <s v="Male"/>
    <x v="4"/>
    <s v="PhD"/>
    <n v="18"/>
    <n v="94000"/>
    <n v="2"/>
    <n v="3"/>
    <x v="1"/>
    <n v="1"/>
    <n v="18"/>
    <x v="0"/>
  </r>
  <r>
    <x v="226"/>
    <n v="58"/>
    <s v="Female"/>
    <x v="1"/>
    <s v="Bachelor"/>
    <n v="37"/>
    <n v="120700"/>
    <n v="4"/>
    <n v="4"/>
    <x v="1"/>
    <n v="10"/>
    <n v="26"/>
    <x v="0"/>
  </r>
  <r>
    <x v="227"/>
    <n v="32"/>
    <s v="Male"/>
    <x v="0"/>
    <s v="Bachelor"/>
    <n v="2"/>
    <n v="50400"/>
    <n v="5"/>
    <n v="5"/>
    <x v="0"/>
    <n v="0"/>
    <n v="39"/>
    <x v="0"/>
  </r>
  <r>
    <x v="228"/>
    <n v="27"/>
    <s v="Female"/>
    <x v="1"/>
    <s v="PhD"/>
    <n v="1"/>
    <n v="60600"/>
    <n v="5"/>
    <n v="4"/>
    <x v="0"/>
    <n v="3"/>
    <n v="25"/>
    <x v="0"/>
  </r>
  <r>
    <x v="229"/>
    <n v="39"/>
    <s v="Male"/>
    <x v="3"/>
    <s v="Master"/>
    <n v="18"/>
    <n v="85300"/>
    <n v="1"/>
    <n v="3"/>
    <x v="1"/>
    <n v="3"/>
    <n v="14"/>
    <x v="0"/>
  </r>
  <r>
    <x v="230"/>
    <n v="42"/>
    <s v="Female"/>
    <x v="1"/>
    <s v="Master"/>
    <n v="16"/>
    <n v="76200"/>
    <n v="2"/>
    <n v="4"/>
    <x v="1"/>
    <n v="3"/>
    <n v="24"/>
    <x v="0"/>
  </r>
  <r>
    <x v="231"/>
    <n v="57"/>
    <s v="Female"/>
    <x v="3"/>
    <s v="Bachelor"/>
    <n v="27"/>
    <n v="98200"/>
    <n v="2"/>
    <n v="3"/>
    <x v="1"/>
    <n v="5"/>
    <n v="33"/>
    <x v="0"/>
  </r>
  <r>
    <x v="232"/>
    <n v="59"/>
    <s v="Female"/>
    <x v="3"/>
    <s v="Bachelor"/>
    <n v="31"/>
    <n v="107700"/>
    <n v="4"/>
    <n v="4"/>
    <x v="0"/>
    <n v="11"/>
    <n v="33"/>
    <x v="0"/>
  </r>
  <r>
    <x v="233"/>
    <n v="55"/>
    <s v="Male"/>
    <x v="3"/>
    <s v="Master"/>
    <n v="33"/>
    <n v="106500"/>
    <n v="4"/>
    <n v="4"/>
    <x v="1"/>
    <n v="11"/>
    <n v="28"/>
    <x v="0"/>
  </r>
  <r>
    <x v="234"/>
    <n v="38"/>
    <s v="Female"/>
    <x v="4"/>
    <s v="Master"/>
    <n v="16"/>
    <n v="90200"/>
    <n v="2"/>
    <n v="3"/>
    <x v="1"/>
    <n v="6"/>
    <n v="24"/>
    <x v="0"/>
  </r>
  <r>
    <x v="235"/>
    <n v="58"/>
    <s v="Male"/>
    <x v="2"/>
    <s v="Bachelor"/>
    <n v="34"/>
    <n v="108700"/>
    <n v="3"/>
    <n v="3"/>
    <x v="1"/>
    <n v="12"/>
    <n v="15"/>
    <x v="0"/>
  </r>
  <r>
    <x v="236"/>
    <n v="46"/>
    <s v="Female"/>
    <x v="0"/>
    <s v="Master"/>
    <n v="23"/>
    <n v="100700"/>
    <n v="4"/>
    <n v="3"/>
    <x v="1"/>
    <n v="3"/>
    <n v="20"/>
    <x v="0"/>
  </r>
  <r>
    <x v="237"/>
    <n v="59"/>
    <s v="Female"/>
    <x v="5"/>
    <s v="Bachelor"/>
    <n v="35"/>
    <n v="118300"/>
    <n v="4"/>
    <n v="4"/>
    <x v="1"/>
    <n v="3"/>
    <n v="19"/>
    <x v="0"/>
  </r>
  <r>
    <x v="238"/>
    <n v="33"/>
    <s v="Male"/>
    <x v="2"/>
    <s v="Master"/>
    <n v="6"/>
    <n v="61400"/>
    <n v="4"/>
    <n v="3"/>
    <x v="0"/>
    <n v="9"/>
    <n v="18"/>
    <x v="0"/>
  </r>
  <r>
    <x v="239"/>
    <n v="44"/>
    <s v="Female"/>
    <x v="4"/>
    <s v="Bachelor"/>
    <n v="23"/>
    <n v="85700"/>
    <n v="4"/>
    <n v="4"/>
    <x v="0"/>
    <n v="8"/>
    <n v="43"/>
    <x v="0"/>
  </r>
  <r>
    <x v="240"/>
    <n v="43"/>
    <s v="Female"/>
    <x v="1"/>
    <s v="Bachelor"/>
    <n v="17"/>
    <n v="79000"/>
    <n v="3"/>
    <n v="2"/>
    <x v="0"/>
    <n v="4"/>
    <n v="9"/>
    <x v="0"/>
  </r>
  <r>
    <x v="241"/>
    <n v="42"/>
    <s v="Male"/>
    <x v="1"/>
    <s v="Bachelor"/>
    <n v="19"/>
    <n v="73900"/>
    <n v="3"/>
    <n v="4"/>
    <x v="0"/>
    <n v="1"/>
    <n v="19"/>
    <x v="0"/>
  </r>
  <r>
    <x v="242"/>
    <n v="48"/>
    <s v="Female"/>
    <x v="1"/>
    <s v="Bachelor"/>
    <n v="18"/>
    <n v="88300"/>
    <n v="4"/>
    <n v="4"/>
    <x v="0"/>
    <n v="12"/>
    <n v="12"/>
    <x v="0"/>
  </r>
  <r>
    <x v="243"/>
    <n v="52"/>
    <s v="Female"/>
    <x v="0"/>
    <s v="Bachelor"/>
    <n v="25"/>
    <n v="94200"/>
    <n v="4"/>
    <n v="3"/>
    <x v="0"/>
    <n v="0"/>
    <n v="4"/>
    <x v="0"/>
  </r>
  <r>
    <x v="244"/>
    <n v="27"/>
    <s v="Female"/>
    <x v="5"/>
    <s v="Bachelor"/>
    <n v="0"/>
    <n v="37700"/>
    <n v="5"/>
    <n v="4"/>
    <x v="0"/>
    <n v="4"/>
    <n v="25"/>
    <x v="0"/>
  </r>
  <r>
    <x v="245"/>
    <n v="48"/>
    <s v="Female"/>
    <x v="1"/>
    <s v="Master"/>
    <n v="26"/>
    <n v="94700"/>
    <n v="4"/>
    <n v="4"/>
    <x v="0"/>
    <n v="7"/>
    <n v="20"/>
    <x v="0"/>
  </r>
  <r>
    <x v="246"/>
    <n v="55"/>
    <s v="Male"/>
    <x v="0"/>
    <s v="Bachelor"/>
    <n v="33"/>
    <n v="133200"/>
    <n v="4"/>
    <n v="4"/>
    <x v="0"/>
    <n v="13"/>
    <n v="48"/>
    <x v="0"/>
  </r>
  <r>
    <x v="247"/>
    <n v="33"/>
    <s v="Male"/>
    <x v="1"/>
    <s v="Master"/>
    <n v="9"/>
    <n v="54100"/>
    <n v="2"/>
    <n v="3"/>
    <x v="1"/>
    <n v="9"/>
    <n v="19"/>
    <x v="0"/>
  </r>
  <r>
    <x v="248"/>
    <n v="28"/>
    <s v="Female"/>
    <x v="1"/>
    <s v="Bachelor"/>
    <n v="7"/>
    <n v="55100"/>
    <n v="3"/>
    <n v="4"/>
    <x v="1"/>
    <n v="9"/>
    <n v="42"/>
    <x v="0"/>
  </r>
  <r>
    <x v="249"/>
    <n v="31"/>
    <s v="Male"/>
    <x v="1"/>
    <s v="Bachelor"/>
    <n v="8"/>
    <n v="48500"/>
    <n v="1"/>
    <n v="2"/>
    <x v="0"/>
    <n v="4"/>
    <n v="34"/>
    <x v="0"/>
  </r>
  <r>
    <x v="250"/>
    <n v="38"/>
    <s v="Female"/>
    <x v="0"/>
    <s v="Bachelor"/>
    <n v="9"/>
    <n v="62300"/>
    <n v="3"/>
    <n v="4"/>
    <x v="1"/>
    <n v="10"/>
    <n v="24"/>
    <x v="0"/>
  </r>
  <r>
    <x v="251"/>
    <n v="47"/>
    <s v="Male"/>
    <x v="0"/>
    <s v="High School"/>
    <n v="20"/>
    <n v="92200"/>
    <n v="4"/>
    <n v="3"/>
    <x v="0"/>
    <n v="6"/>
    <n v="47"/>
    <x v="0"/>
  </r>
  <r>
    <x v="252"/>
    <n v="42"/>
    <s v="Female"/>
    <x v="1"/>
    <s v="Bachelor"/>
    <n v="15"/>
    <n v="77600"/>
    <n v="5"/>
    <n v="4"/>
    <x v="0"/>
    <n v="0"/>
    <n v="30"/>
    <x v="0"/>
  </r>
  <r>
    <x v="253"/>
    <n v="49"/>
    <s v="Female"/>
    <x v="0"/>
    <s v="Bachelor"/>
    <n v="25"/>
    <n v="111400"/>
    <n v="2"/>
    <n v="3"/>
    <x v="0"/>
    <n v="9"/>
    <n v="40"/>
    <x v="0"/>
  </r>
  <r>
    <x v="254"/>
    <n v="23"/>
    <s v="Female"/>
    <x v="4"/>
    <s v="High School"/>
    <n v="1"/>
    <n v="31400"/>
    <n v="3"/>
    <n v="4"/>
    <x v="0"/>
    <n v="10"/>
    <n v="44"/>
    <x v="0"/>
  </r>
  <r>
    <x v="255"/>
    <n v="22"/>
    <s v="Female"/>
    <x v="3"/>
    <s v="PhD"/>
    <n v="0"/>
    <n v="51900"/>
    <n v="4"/>
    <n v="5"/>
    <x v="1"/>
    <n v="11"/>
    <n v="32"/>
    <x v="0"/>
  </r>
  <r>
    <x v="256"/>
    <n v="57"/>
    <s v="Female"/>
    <x v="1"/>
    <s v="Bachelor"/>
    <n v="31"/>
    <n v="114400"/>
    <n v="2"/>
    <n v="3"/>
    <x v="1"/>
    <n v="8"/>
    <n v="31"/>
    <x v="0"/>
  </r>
  <r>
    <x v="257"/>
    <n v="47"/>
    <s v="Female"/>
    <x v="2"/>
    <s v="Master"/>
    <n v="24"/>
    <n v="84000"/>
    <n v="4"/>
    <n v="4"/>
    <x v="0"/>
    <n v="2"/>
    <n v="34"/>
    <x v="1"/>
  </r>
  <r>
    <x v="258"/>
    <n v="50"/>
    <s v="Male"/>
    <x v="3"/>
    <s v="Bachelor"/>
    <n v="29"/>
    <n v="102000"/>
    <n v="4"/>
    <n v="4"/>
    <x v="0"/>
    <n v="0"/>
    <n v="13"/>
    <x v="0"/>
  </r>
  <r>
    <x v="259"/>
    <n v="42"/>
    <s v="Female"/>
    <x v="5"/>
    <s v="Master"/>
    <n v="14"/>
    <n v="73800"/>
    <n v="4"/>
    <n v="5"/>
    <x v="0"/>
    <n v="7"/>
    <n v="28"/>
    <x v="0"/>
  </r>
  <r>
    <x v="260"/>
    <n v="32"/>
    <s v="Male"/>
    <x v="3"/>
    <s v="Master"/>
    <n v="7"/>
    <n v="61300"/>
    <n v="2"/>
    <n v="2"/>
    <x v="0"/>
    <n v="10"/>
    <n v="35"/>
    <x v="0"/>
  </r>
  <r>
    <x v="261"/>
    <n v="32"/>
    <s v="Female"/>
    <x v="1"/>
    <s v="Master"/>
    <n v="7"/>
    <n v="53000"/>
    <n v="3"/>
    <n v="3"/>
    <x v="0"/>
    <n v="10"/>
    <n v="40"/>
    <x v="0"/>
  </r>
  <r>
    <x v="262"/>
    <n v="57"/>
    <s v="Male"/>
    <x v="4"/>
    <s v="Bachelor"/>
    <n v="33"/>
    <n v="102600"/>
    <n v="4"/>
    <n v="5"/>
    <x v="0"/>
    <n v="9"/>
    <n v="18"/>
    <x v="0"/>
  </r>
  <r>
    <x v="263"/>
    <n v="60"/>
    <s v="Male"/>
    <x v="3"/>
    <s v="Bachelor"/>
    <n v="34"/>
    <n v="97400"/>
    <n v="4"/>
    <n v="4"/>
    <x v="1"/>
    <n v="7"/>
    <n v="33"/>
    <x v="0"/>
  </r>
  <r>
    <x v="264"/>
    <n v="56"/>
    <s v="Male"/>
    <x v="1"/>
    <s v="Bachelor"/>
    <n v="33"/>
    <n v="115400"/>
    <n v="1"/>
    <n v="3"/>
    <x v="1"/>
    <n v="12"/>
    <n v="24"/>
    <x v="0"/>
  </r>
  <r>
    <x v="265"/>
    <n v="55"/>
    <s v="Female"/>
    <x v="2"/>
    <s v="Master"/>
    <n v="26"/>
    <n v="107900"/>
    <n v="4"/>
    <n v="4"/>
    <x v="0"/>
    <n v="10"/>
    <n v="26"/>
    <x v="0"/>
  </r>
  <r>
    <x v="266"/>
    <n v="45"/>
    <s v="Female"/>
    <x v="2"/>
    <s v="Master"/>
    <n v="20"/>
    <n v="89100"/>
    <n v="1"/>
    <n v="4"/>
    <x v="1"/>
    <n v="6"/>
    <n v="31"/>
    <x v="0"/>
  </r>
  <r>
    <x v="267"/>
    <n v="43"/>
    <s v="Male"/>
    <x v="2"/>
    <s v="PhD"/>
    <n v="20"/>
    <n v="90300"/>
    <n v="4"/>
    <n v="3"/>
    <x v="0"/>
    <n v="9"/>
    <n v="25"/>
    <x v="0"/>
  </r>
  <r>
    <x v="268"/>
    <n v="26"/>
    <s v="Female"/>
    <x v="0"/>
    <s v="Bachelor"/>
    <n v="5"/>
    <n v="44600"/>
    <n v="2"/>
    <n v="4"/>
    <x v="0"/>
    <n v="4"/>
    <n v="33"/>
    <x v="1"/>
  </r>
  <r>
    <x v="269"/>
    <n v="54"/>
    <s v="Male"/>
    <x v="0"/>
    <s v="Master"/>
    <n v="24"/>
    <n v="108700"/>
    <n v="5"/>
    <n v="5"/>
    <x v="0"/>
    <n v="8"/>
    <n v="44"/>
    <x v="0"/>
  </r>
  <r>
    <x v="270"/>
    <n v="57"/>
    <s v="Female"/>
    <x v="1"/>
    <s v="Master"/>
    <n v="31"/>
    <n v="103500"/>
    <n v="3"/>
    <n v="3"/>
    <x v="1"/>
    <n v="2"/>
    <n v="31"/>
    <x v="0"/>
  </r>
  <r>
    <x v="271"/>
    <n v="41"/>
    <s v="Male"/>
    <x v="1"/>
    <s v="Bachelor"/>
    <n v="19"/>
    <n v="72800"/>
    <n v="3"/>
    <n v="4"/>
    <x v="1"/>
    <n v="3"/>
    <n v="31"/>
    <x v="0"/>
  </r>
  <r>
    <x v="272"/>
    <n v="40"/>
    <s v="Male"/>
    <x v="1"/>
    <s v="High School"/>
    <n v="17"/>
    <n v="69300"/>
    <n v="2"/>
    <n v="2"/>
    <x v="0"/>
    <n v="10"/>
    <n v="44"/>
    <x v="0"/>
  </r>
  <r>
    <x v="273"/>
    <n v="56"/>
    <s v="Female"/>
    <x v="1"/>
    <s v="Master"/>
    <n v="35"/>
    <n v="118600"/>
    <n v="3"/>
    <n v="3"/>
    <x v="0"/>
    <n v="10"/>
    <n v="35"/>
    <x v="0"/>
  </r>
  <r>
    <x v="274"/>
    <n v="38"/>
    <s v="Male"/>
    <x v="3"/>
    <s v="Master"/>
    <n v="9"/>
    <n v="57500"/>
    <n v="5"/>
    <n v="4"/>
    <x v="1"/>
    <n v="10"/>
    <n v="26"/>
    <x v="0"/>
  </r>
  <r>
    <x v="275"/>
    <n v="55"/>
    <s v="Female"/>
    <x v="3"/>
    <s v="Master"/>
    <n v="27"/>
    <n v="102600"/>
    <n v="5"/>
    <n v="3"/>
    <x v="0"/>
    <n v="6"/>
    <n v="7"/>
    <x v="0"/>
  </r>
  <r>
    <x v="276"/>
    <n v="30"/>
    <s v="Male"/>
    <x v="1"/>
    <s v="Bachelor"/>
    <n v="8"/>
    <n v="49200"/>
    <n v="3"/>
    <n v="4"/>
    <x v="1"/>
    <n v="0"/>
    <n v="15"/>
    <x v="0"/>
  </r>
  <r>
    <x v="277"/>
    <n v="47"/>
    <s v="Male"/>
    <x v="2"/>
    <s v="Master"/>
    <n v="19"/>
    <n v="89700"/>
    <n v="3"/>
    <n v="4"/>
    <x v="0"/>
    <n v="6"/>
    <n v="38"/>
    <x v="0"/>
  </r>
  <r>
    <x v="278"/>
    <n v="23"/>
    <s v="Female"/>
    <x v="2"/>
    <s v="Bachelor"/>
    <n v="0"/>
    <n v="43200"/>
    <n v="4"/>
    <n v="5"/>
    <x v="0"/>
    <n v="8"/>
    <n v="19"/>
    <x v="0"/>
  </r>
  <r>
    <x v="279"/>
    <n v="30"/>
    <s v="Female"/>
    <x v="1"/>
    <s v="Bachelor"/>
    <n v="9"/>
    <n v="56600"/>
    <n v="5"/>
    <n v="5"/>
    <x v="0"/>
    <n v="4"/>
    <n v="15"/>
    <x v="0"/>
  </r>
  <r>
    <x v="280"/>
    <n v="30"/>
    <s v="Female"/>
    <x v="1"/>
    <s v="Bachelor"/>
    <n v="5"/>
    <n v="50200"/>
    <n v="4"/>
    <n v="5"/>
    <x v="1"/>
    <n v="5"/>
    <n v="18"/>
    <x v="0"/>
  </r>
  <r>
    <x v="281"/>
    <n v="38"/>
    <s v="Male"/>
    <x v="0"/>
    <s v="Master"/>
    <n v="10"/>
    <n v="88800"/>
    <n v="3"/>
    <n v="4"/>
    <x v="0"/>
    <n v="12"/>
    <n v="19"/>
    <x v="0"/>
  </r>
  <r>
    <x v="282"/>
    <n v="22"/>
    <s v="Female"/>
    <x v="0"/>
    <s v="Master"/>
    <n v="0"/>
    <n v="43800"/>
    <n v="3"/>
    <n v="3"/>
    <x v="1"/>
    <n v="7"/>
    <n v="32"/>
    <x v="0"/>
  </r>
  <r>
    <x v="283"/>
    <n v="46"/>
    <s v="Male"/>
    <x v="5"/>
    <s v="Bachelor"/>
    <n v="22"/>
    <n v="75800"/>
    <n v="4"/>
    <n v="4"/>
    <x v="0"/>
    <n v="8"/>
    <n v="25"/>
    <x v="0"/>
  </r>
  <r>
    <x v="284"/>
    <n v="46"/>
    <s v="Male"/>
    <x v="3"/>
    <s v="Bachelor"/>
    <n v="19"/>
    <n v="82700"/>
    <n v="1"/>
    <n v="2"/>
    <x v="1"/>
    <n v="11"/>
    <n v="6"/>
    <x v="1"/>
  </r>
  <r>
    <x v="285"/>
    <n v="60"/>
    <s v="Female"/>
    <x v="5"/>
    <s v="Master"/>
    <n v="37"/>
    <n v="138000"/>
    <n v="4"/>
    <n v="2"/>
    <x v="1"/>
    <n v="3"/>
    <n v="22"/>
    <x v="1"/>
  </r>
  <r>
    <x v="286"/>
    <n v="56"/>
    <s v="Female"/>
    <x v="3"/>
    <s v="Bachelor"/>
    <n v="31"/>
    <n v="102400"/>
    <n v="3"/>
    <n v="3"/>
    <x v="1"/>
    <n v="8"/>
    <n v="25"/>
    <x v="0"/>
  </r>
  <r>
    <x v="287"/>
    <n v="24"/>
    <s v="Male"/>
    <x v="3"/>
    <s v="Master"/>
    <n v="0"/>
    <n v="55100"/>
    <n v="4"/>
    <n v="2"/>
    <x v="0"/>
    <n v="11"/>
    <n v="16"/>
    <x v="0"/>
  </r>
  <r>
    <x v="288"/>
    <n v="58"/>
    <s v="Male"/>
    <x v="0"/>
    <s v="Bachelor"/>
    <n v="28"/>
    <n v="107300"/>
    <n v="2"/>
    <n v="3"/>
    <x v="0"/>
    <n v="13"/>
    <n v="36"/>
    <x v="0"/>
  </r>
  <r>
    <x v="289"/>
    <n v="51"/>
    <s v="Female"/>
    <x v="3"/>
    <s v="Bachelor"/>
    <n v="28"/>
    <n v="92800"/>
    <n v="4"/>
    <n v="3"/>
    <x v="0"/>
    <n v="6"/>
    <n v="17"/>
    <x v="0"/>
  </r>
  <r>
    <x v="290"/>
    <n v="59"/>
    <s v="Female"/>
    <x v="5"/>
    <s v="Bachelor"/>
    <n v="35"/>
    <n v="106100"/>
    <n v="3"/>
    <n v="3"/>
    <x v="1"/>
    <n v="7"/>
    <n v="35"/>
    <x v="0"/>
  </r>
  <r>
    <x v="291"/>
    <n v="55"/>
    <s v="Female"/>
    <x v="5"/>
    <s v="Bachelor"/>
    <n v="26"/>
    <n v="97600"/>
    <n v="4"/>
    <n v="3"/>
    <x v="0"/>
    <n v="7"/>
    <n v="29"/>
    <x v="0"/>
  </r>
  <r>
    <x v="292"/>
    <n v="33"/>
    <s v="Female"/>
    <x v="1"/>
    <s v="Master"/>
    <n v="6"/>
    <n v="49800"/>
    <n v="1"/>
    <n v="3"/>
    <x v="0"/>
    <n v="7"/>
    <n v="33"/>
    <x v="0"/>
  </r>
  <r>
    <x v="293"/>
    <n v="40"/>
    <s v="Female"/>
    <x v="0"/>
    <s v="Bachelor"/>
    <n v="19"/>
    <n v="87400"/>
    <n v="4"/>
    <n v="4"/>
    <x v="0"/>
    <n v="12"/>
    <n v="14"/>
    <x v="0"/>
  </r>
  <r>
    <x v="294"/>
    <n v="58"/>
    <s v="Male"/>
    <x v="4"/>
    <s v="Bachelor"/>
    <n v="34"/>
    <n v="125900"/>
    <n v="4"/>
    <n v="5"/>
    <x v="0"/>
    <n v="2"/>
    <n v="28"/>
    <x v="0"/>
  </r>
  <r>
    <x v="295"/>
    <n v="38"/>
    <s v="Male"/>
    <x v="3"/>
    <s v="Master"/>
    <n v="14"/>
    <n v="71700"/>
    <n v="4"/>
    <n v="3"/>
    <x v="1"/>
    <n v="6"/>
    <n v="21"/>
    <x v="0"/>
  </r>
  <r>
    <x v="296"/>
    <n v="31"/>
    <s v="Male"/>
    <x v="1"/>
    <s v="Bachelor"/>
    <n v="2"/>
    <n v="49600"/>
    <n v="4"/>
    <n v="4"/>
    <x v="0"/>
    <n v="2"/>
    <n v="10"/>
    <x v="0"/>
  </r>
  <r>
    <x v="297"/>
    <n v="33"/>
    <s v="Male"/>
    <x v="4"/>
    <s v="Bachelor"/>
    <n v="7"/>
    <n v="46900"/>
    <n v="4"/>
    <n v="5"/>
    <x v="1"/>
    <n v="3"/>
    <n v="40"/>
    <x v="0"/>
  </r>
  <r>
    <x v="298"/>
    <n v="37"/>
    <s v="Female"/>
    <x v="3"/>
    <s v="Master"/>
    <n v="8"/>
    <n v="56900"/>
    <n v="4"/>
    <n v="4"/>
    <x v="0"/>
    <n v="8"/>
    <n v="17"/>
    <x v="0"/>
  </r>
  <r>
    <x v="299"/>
    <n v="45"/>
    <s v="Female"/>
    <x v="5"/>
    <s v="Master"/>
    <n v="19"/>
    <n v="74900"/>
    <n v="3"/>
    <n v="3"/>
    <x v="0"/>
    <n v="9"/>
    <n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EE4C18-FF0A-45AF-BB96-C4A0EA404A2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2:C19" firstHeaderRow="1" firstDataRow="2" firstDataCol="1"/>
  <pivotFields count="13">
    <pivotField showAll="0"/>
    <pivotField numFmtId="1" showAll="0"/>
    <pivotField showAll="0"/>
    <pivotField axis="axisRow" showAll="0">
      <items count="7">
        <item x="4"/>
        <item x="5"/>
        <item x="0"/>
        <item x="2"/>
        <item x="1"/>
        <item x="3"/>
        <item t="default"/>
      </items>
    </pivotField>
    <pivotField showAll="0"/>
    <pivotField numFmtId="1" showAll="0"/>
    <pivotField numFmtId="44" showAll="0"/>
    <pivotField numFmtId="1" showAll="0"/>
    <pivotField numFmtId="1" showAll="0"/>
    <pivotField showAll="0">
      <items count="3">
        <item x="0"/>
        <item x="1"/>
        <item t="default"/>
      </items>
    </pivotField>
    <pivotField numFmtId="1" showAll="0"/>
    <pivotField numFmtId="1" showAll="0"/>
    <pivotField axis="axisCol" dataField="1" showAll="0">
      <items count="3">
        <item x="0"/>
        <item x="1"/>
        <item t="default"/>
      </items>
    </pivotField>
  </pivotFields>
  <rowFields count="1">
    <field x="3"/>
  </rowFields>
  <rowItems count="6">
    <i>
      <x/>
    </i>
    <i>
      <x v="1"/>
    </i>
    <i>
      <x v="2"/>
    </i>
    <i>
      <x v="3"/>
    </i>
    <i>
      <x v="4"/>
    </i>
    <i>
      <x v="5"/>
    </i>
  </rowItems>
  <colFields count="1">
    <field x="12"/>
  </colFields>
  <colItems count="2">
    <i>
      <x/>
    </i>
    <i>
      <x v="1"/>
    </i>
  </colItems>
  <dataFields count="1">
    <dataField name="Count of Left Company" fld="12" subtotal="count" baseField="0" baseItem="0" numFmtId="1"/>
  </dataFields>
  <formats count="32">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12" type="button" dataOnly="0" labelOnly="1" outline="0" axis="axisCol" fieldPosition="0"/>
    </format>
    <format dxfId="115">
      <pivotArea type="topRight" dataOnly="0" labelOnly="1" outline="0"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 dxfId="111">
      <pivotArea dataOnly="0" labelOnly="1" fieldPosition="0">
        <references count="1">
          <reference field="12" count="0"/>
        </references>
      </pivotArea>
    </format>
    <format dxfId="110">
      <pivotArea dataOnly="0" labelOnly="1" grandCol="1" outline="0" fieldPosition="0"/>
    </format>
    <format dxfId="109">
      <pivotArea outline="0" collapsedLevelsAreSubtotals="1" fieldPosition="0">
        <references count="1">
          <reference field="12" count="1" selected="0">
            <x v="0"/>
          </reference>
        </references>
      </pivotArea>
    </format>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12" type="button" dataOnly="0" labelOnly="1" outline="0" axis="axisCol" fieldPosition="0"/>
    </format>
    <format dxfId="104">
      <pivotArea type="topRight" dataOnly="0" labelOnly="1" outline="0" fieldPosition="0"/>
    </format>
    <format dxfId="103">
      <pivotArea field="3" type="button" dataOnly="0" labelOnly="1" outline="0" axis="axisRow" fieldPosition="0"/>
    </format>
    <format dxfId="102">
      <pivotArea dataOnly="0" labelOnly="1" fieldPosition="0">
        <references count="1">
          <reference field="3" count="0"/>
        </references>
      </pivotArea>
    </format>
    <format dxfId="101">
      <pivotArea dataOnly="0" labelOnly="1" grandRow="1" outline="0" fieldPosition="0"/>
    </format>
    <format dxfId="100">
      <pivotArea dataOnly="0" labelOnly="1" fieldPosition="0">
        <references count="1">
          <reference field="12" count="0"/>
        </references>
      </pivotArea>
    </format>
    <format dxfId="99">
      <pivotArea dataOnly="0" labelOnly="1" grandCol="1" outline="0"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12" type="button" dataOnly="0" labelOnly="1" outline="0" axis="axisCol" fieldPosition="0"/>
    </format>
    <format dxfId="93">
      <pivotArea type="topRight" dataOnly="0" labelOnly="1" outline="0" fieldPosition="0"/>
    </format>
    <format dxfId="92">
      <pivotArea field="3" type="button" dataOnly="0" labelOnly="1" outline="0" axis="axisRow" fieldPosition="0"/>
    </format>
    <format dxfId="91">
      <pivotArea dataOnly="0" labelOnly="1" fieldPosition="0">
        <references count="1">
          <reference field="3" count="0"/>
        </references>
      </pivotArea>
    </format>
    <format dxfId="90">
      <pivotArea dataOnly="0" labelOnly="1" grandRow="1" outline="0" fieldPosition="0"/>
    </format>
    <format dxfId="89">
      <pivotArea dataOnly="0" labelOnly="1" fieldPosition="0">
        <references count="1">
          <reference field="12" count="0"/>
        </references>
      </pivotArea>
    </format>
    <format dxfId="88">
      <pivotArea dataOnly="0" labelOnly="1" grandCol="1" outline="0" fieldPosition="0"/>
    </format>
  </formats>
  <chartFormats count="4">
    <chartFormat chart="8" format="2" series="1">
      <pivotArea type="data" outline="0" fieldPosition="0">
        <references count="2">
          <reference field="4294967294" count="1" selected="0">
            <x v="0"/>
          </reference>
          <reference field="12" count="1" selected="0">
            <x v="0"/>
          </reference>
        </references>
      </pivotArea>
    </chartFormat>
    <chartFormat chart="8" format="3" series="1">
      <pivotArea type="data" outline="0" fieldPosition="0">
        <references count="2">
          <reference field="4294967294" count="1" selected="0">
            <x v="0"/>
          </reference>
          <reference field="12" count="1" selected="0">
            <x v="1"/>
          </reference>
        </references>
      </pivotArea>
    </chartFormat>
    <chartFormat chart="22" format="2" series="1">
      <pivotArea type="data" outline="0" fieldPosition="0">
        <references count="2">
          <reference field="4294967294" count="1" selected="0">
            <x v="0"/>
          </reference>
          <reference field="12" count="1" selected="0">
            <x v="0"/>
          </reference>
        </references>
      </pivotArea>
    </chartFormat>
    <chartFormat chart="22" format="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D16124-C178-4B91-A9C9-F1F399FFFDF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D1:E7" firstHeaderRow="1" firstDataRow="1" firstDataCol="1"/>
  <pivotFields count="13">
    <pivotField showAll="0"/>
    <pivotField numFmtId="1" showAll="0"/>
    <pivotField showAll="0"/>
    <pivotField axis="axisRow" showAll="0">
      <items count="7">
        <item x="4"/>
        <item x="5"/>
        <item x="0"/>
        <item x="2"/>
        <item x="1"/>
        <item x="3"/>
        <item t="default"/>
      </items>
    </pivotField>
    <pivotField showAll="0"/>
    <pivotField numFmtId="1" showAll="0"/>
    <pivotField dataField="1" numFmtId="44" showAll="0"/>
    <pivotField numFmtId="1" showAll="0"/>
    <pivotField numFmtId="1" showAll="0"/>
    <pivotField showAll="0">
      <items count="3">
        <item x="0"/>
        <item x="1"/>
        <item t="default"/>
      </items>
    </pivotField>
    <pivotField numFmtId="1" showAll="0"/>
    <pivotField numFmtId="1" showAll="0"/>
    <pivotField showAll="0"/>
  </pivotFields>
  <rowFields count="1">
    <field x="3"/>
  </rowFields>
  <rowItems count="6">
    <i>
      <x/>
    </i>
    <i>
      <x v="1"/>
    </i>
    <i>
      <x v="2"/>
    </i>
    <i>
      <x v="3"/>
    </i>
    <i>
      <x v="4"/>
    </i>
    <i>
      <x v="5"/>
    </i>
  </rowItems>
  <colItems count="1">
    <i/>
  </colItems>
  <dataFields count="1">
    <dataField name="Average of Annual Salary" fld="6" subtotal="average" baseField="3" baseItem="0" numFmtId="164"/>
  </dataFields>
  <formats count="19">
    <format dxfId="138">
      <pivotArea outline="0" collapsedLevelsAreSubtotals="1" fieldPosition="0"/>
    </format>
    <format dxfId="137">
      <pivotArea type="all" dataOnly="0" outline="0" fieldPosition="0"/>
    </format>
    <format dxfId="136">
      <pivotArea outline="0" collapsedLevelsAreSubtotals="1" fieldPosition="0"/>
    </format>
    <format dxfId="135">
      <pivotArea field="3" type="button" dataOnly="0" labelOnly="1" outline="0" axis="axisRow" fieldPosition="0"/>
    </format>
    <format dxfId="134">
      <pivotArea dataOnly="0" labelOnly="1" fieldPosition="0">
        <references count="1">
          <reference field="3"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3" type="button" dataOnly="0" labelOnly="1" outline="0" axis="axisRow" fieldPosition="0"/>
    </format>
    <format dxfId="128">
      <pivotArea dataOnly="0" labelOnly="1" fieldPosition="0">
        <references count="1">
          <reference field="3"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3" type="button" dataOnly="0" labelOnly="1" outline="0" axis="axisRow" fieldPosition="0"/>
    </format>
    <format dxfId="122">
      <pivotArea dataOnly="0" labelOnly="1" fieldPosition="0">
        <references count="1">
          <reference field="3" count="0"/>
        </references>
      </pivotArea>
    </format>
    <format dxfId="121">
      <pivotArea dataOnly="0" labelOnly="1" grandRow="1" outline="0" fieldPosition="0"/>
    </format>
    <format dxfId="120">
      <pivotArea dataOnly="0" labelOnly="1" outline="0" axis="axisValues" fieldPosition="0"/>
    </format>
  </format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BC1625-9145-4B83-BA58-7B7F59E0441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B7" firstHeaderRow="1" firstDataRow="1" firstDataCol="1"/>
  <pivotFields count="13">
    <pivotField dataField="1" showAll="0"/>
    <pivotField numFmtId="1" showAll="0"/>
    <pivotField showAll="0"/>
    <pivotField axis="axisRow" showAll="0">
      <items count="7">
        <item x="4"/>
        <item x="5"/>
        <item x="0"/>
        <item x="2"/>
        <item x="1"/>
        <item x="3"/>
        <item t="default"/>
      </items>
    </pivotField>
    <pivotField showAll="0"/>
    <pivotField numFmtId="1" showAll="0"/>
    <pivotField numFmtId="44" showAll="0"/>
    <pivotField numFmtId="1" showAll="0"/>
    <pivotField numFmtId="1" showAll="0"/>
    <pivotField showAll="0">
      <items count="3">
        <item x="0"/>
        <item x="1"/>
        <item t="default"/>
      </items>
    </pivotField>
    <pivotField numFmtId="1" showAll="0"/>
    <pivotField numFmtId="1" showAll="0"/>
    <pivotField showAll="0"/>
  </pivotFields>
  <rowFields count="1">
    <field x="3"/>
  </rowFields>
  <rowItems count="6">
    <i>
      <x/>
    </i>
    <i>
      <x v="1"/>
    </i>
    <i>
      <x v="2"/>
    </i>
    <i>
      <x v="3"/>
    </i>
    <i>
      <x v="4"/>
    </i>
    <i>
      <x v="5"/>
    </i>
  </rowItems>
  <colItems count="1">
    <i/>
  </colItems>
  <dataFields count="1">
    <dataField name="Count of Employee ID" fld="0" subtotal="count" baseField="0" baseItem="0" numFmtId="1"/>
  </dataFields>
  <formats count="19">
    <format dxfId="157">
      <pivotArea outline="0" collapsedLevelsAreSubtotals="1" fieldPosition="0"/>
    </format>
    <format dxfId="156">
      <pivotArea type="all" dataOnly="0" outline="0" fieldPosition="0"/>
    </format>
    <format dxfId="155">
      <pivotArea outline="0" collapsedLevelsAreSubtotals="1" fieldPosition="0"/>
    </format>
    <format dxfId="154">
      <pivotArea field="3" type="button" dataOnly="0" labelOnly="1" outline="0" axis="axisRow" fieldPosition="0"/>
    </format>
    <format dxfId="153">
      <pivotArea dataOnly="0" labelOnly="1" fieldPosition="0">
        <references count="1">
          <reference field="3"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3" type="button" dataOnly="0" labelOnly="1" outline="0" axis="axisRow" fieldPosition="0"/>
    </format>
    <format dxfId="147">
      <pivotArea dataOnly="0" labelOnly="1" fieldPosition="0">
        <references count="1">
          <reference field="3"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3" type="button" dataOnly="0" labelOnly="1" outline="0" axis="axisRow" fieldPosition="0"/>
    </format>
    <format dxfId="141">
      <pivotArea dataOnly="0" labelOnly="1" fieldPosition="0">
        <references count="1">
          <reference field="3" count="0"/>
        </references>
      </pivotArea>
    </format>
    <format dxfId="140">
      <pivotArea dataOnly="0" labelOnly="1" grandRow="1" outline="0" fieldPosition="0"/>
    </format>
    <format dxfId="139">
      <pivotArea dataOnly="0" labelOnly="1" outline="0" axis="axisValues" fieldPosition="0"/>
    </format>
  </format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A71005-CC36-483D-86F3-7AE7AA43E26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2:H15" firstHeaderRow="1" firstDataRow="2" firstDataCol="1"/>
  <pivotFields count="13">
    <pivotField dataField="1" showAll="0"/>
    <pivotField numFmtId="1" showAll="0"/>
    <pivotField showAll="0"/>
    <pivotField showAll="0">
      <items count="7">
        <item x="4"/>
        <item x="5"/>
        <item x="0"/>
        <item x="2"/>
        <item x="1"/>
        <item x="3"/>
        <item t="default"/>
      </items>
    </pivotField>
    <pivotField showAll="0"/>
    <pivotField numFmtId="1" showAll="0"/>
    <pivotField numFmtId="44" showAll="0"/>
    <pivotField numFmtId="1" showAll="0"/>
    <pivotField numFmtId="1" showAll="0"/>
    <pivotField axis="axisRow" showAll="0">
      <items count="3">
        <item x="0"/>
        <item x="1"/>
        <item t="default"/>
      </items>
    </pivotField>
    <pivotField numFmtId="1" showAll="0"/>
    <pivotField numFmtId="1" showAll="0"/>
    <pivotField axis="axisCol" showAll="0">
      <items count="3">
        <item x="0"/>
        <item x="1"/>
        <item t="default"/>
      </items>
    </pivotField>
  </pivotFields>
  <rowFields count="1">
    <field x="9"/>
  </rowFields>
  <rowItems count="2">
    <i>
      <x/>
    </i>
    <i>
      <x v="1"/>
    </i>
  </rowItems>
  <colFields count="1">
    <field x="12"/>
  </colFields>
  <colItems count="2">
    <i>
      <x/>
    </i>
    <i>
      <x v="1"/>
    </i>
  </colItems>
  <dataFields count="1">
    <dataField name="Count of Employee ID" fld="0" subtotal="count" baseField="0" baseItem="0" numFmtId="1"/>
  </dataFields>
  <formats count="31">
    <format dxfId="188">
      <pivotArea type="all" dataOnly="0" outline="0" fieldPosition="0"/>
    </format>
    <format dxfId="187">
      <pivotArea outline="0" collapsedLevelsAreSubtotals="1" fieldPosition="0"/>
    </format>
    <format dxfId="186">
      <pivotArea type="origin" dataOnly="0" labelOnly="1" outline="0" fieldPosition="0"/>
    </format>
    <format dxfId="185">
      <pivotArea field="12" type="button" dataOnly="0" labelOnly="1" outline="0" axis="axisCol" fieldPosition="0"/>
    </format>
    <format dxfId="184">
      <pivotArea type="topRight" dataOnly="0" labelOnly="1" outline="0" fieldPosition="0"/>
    </format>
    <format dxfId="183">
      <pivotArea field="9" type="button" dataOnly="0" labelOnly="1" outline="0" axis="axisRow" fieldPosition="0"/>
    </format>
    <format dxfId="182">
      <pivotArea dataOnly="0" labelOnly="1" fieldPosition="0">
        <references count="1">
          <reference field="9" count="0"/>
        </references>
      </pivotArea>
    </format>
    <format dxfId="181">
      <pivotArea dataOnly="0" labelOnly="1" grandRow="1" outline="0" fieldPosition="0"/>
    </format>
    <format dxfId="180">
      <pivotArea dataOnly="0" labelOnly="1" fieldPosition="0">
        <references count="1">
          <reference field="12" count="0"/>
        </references>
      </pivotArea>
    </format>
    <format dxfId="179">
      <pivotArea dataOnly="0" labelOnly="1" grandCol="1" outline="0" fieldPosition="0"/>
    </format>
    <format dxfId="178">
      <pivotArea type="all" dataOnly="0" outline="0" fieldPosition="0"/>
    </format>
    <format dxfId="177">
      <pivotArea outline="0" collapsedLevelsAreSubtotals="1" fieldPosition="0"/>
    </format>
    <format dxfId="176">
      <pivotArea type="origin" dataOnly="0" labelOnly="1" outline="0" fieldPosition="0"/>
    </format>
    <format dxfId="175">
      <pivotArea field="12" type="button" dataOnly="0" labelOnly="1" outline="0" axis="axisCol" fieldPosition="0"/>
    </format>
    <format dxfId="174">
      <pivotArea type="topRight" dataOnly="0" labelOnly="1" outline="0" fieldPosition="0"/>
    </format>
    <format dxfId="173">
      <pivotArea field="9" type="button" dataOnly="0" labelOnly="1" outline="0" axis="axisRow" fieldPosition="0"/>
    </format>
    <format dxfId="172">
      <pivotArea dataOnly="0" labelOnly="1" fieldPosition="0">
        <references count="1">
          <reference field="9" count="0"/>
        </references>
      </pivotArea>
    </format>
    <format dxfId="171">
      <pivotArea dataOnly="0" labelOnly="1" grandRow="1" outline="0" fieldPosition="0"/>
    </format>
    <format dxfId="170">
      <pivotArea dataOnly="0" labelOnly="1" fieldPosition="0">
        <references count="1">
          <reference field="12" count="0"/>
        </references>
      </pivotArea>
    </format>
    <format dxfId="169">
      <pivotArea dataOnly="0" labelOnly="1" grandCol="1" outline="0" fieldPosition="0"/>
    </format>
    <format dxfId="168">
      <pivotArea outline="0" collapsedLevelsAreSubtotals="1" fieldPosition="0"/>
    </format>
    <format dxfId="167">
      <pivotArea type="all" dataOnly="0" outline="0" fieldPosition="0"/>
    </format>
    <format dxfId="166">
      <pivotArea outline="0" collapsedLevelsAreSubtotals="1" fieldPosition="0"/>
    </format>
    <format dxfId="165">
      <pivotArea type="origin" dataOnly="0" labelOnly="1" outline="0" fieldPosition="0"/>
    </format>
    <format dxfId="164">
      <pivotArea field="12" type="button" dataOnly="0" labelOnly="1" outline="0" axis="axisCol" fieldPosition="0"/>
    </format>
    <format dxfId="163">
      <pivotArea type="topRight" dataOnly="0" labelOnly="1" outline="0" fieldPosition="0"/>
    </format>
    <format dxfId="162">
      <pivotArea field="9" type="button" dataOnly="0" labelOnly="1" outline="0" axis="axisRow" fieldPosition="0"/>
    </format>
    <format dxfId="161">
      <pivotArea dataOnly="0" labelOnly="1" fieldPosition="0">
        <references count="1">
          <reference field="9" count="0"/>
        </references>
      </pivotArea>
    </format>
    <format dxfId="160">
      <pivotArea dataOnly="0" labelOnly="1" grandRow="1" outline="0" fieldPosition="0"/>
    </format>
    <format dxfId="159">
      <pivotArea dataOnly="0" labelOnly="1" fieldPosition="0">
        <references count="1">
          <reference field="12" count="0"/>
        </references>
      </pivotArea>
    </format>
    <format dxfId="1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201EA5-D7A5-4F81-BCF1-1174DBBD7166}"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G1:H7" firstHeaderRow="1" firstDataRow="1" firstDataCol="1"/>
  <pivotFields count="13">
    <pivotField showAll="0"/>
    <pivotField numFmtId="1" showAll="0"/>
    <pivotField showAll="0"/>
    <pivotField axis="axisRow" showAll="0">
      <items count="7">
        <item x="4"/>
        <item x="5"/>
        <item x="0"/>
        <item x="2"/>
        <item x="1"/>
        <item x="3"/>
        <item t="default"/>
      </items>
    </pivotField>
    <pivotField showAll="0"/>
    <pivotField numFmtId="1" showAll="0"/>
    <pivotField numFmtId="44" showAll="0"/>
    <pivotField dataField="1" numFmtId="1" showAll="0"/>
    <pivotField numFmtId="1" showAll="0"/>
    <pivotField showAll="0">
      <items count="3">
        <item x="0"/>
        <item x="1"/>
        <item t="default"/>
      </items>
    </pivotField>
    <pivotField numFmtId="1" showAll="0"/>
    <pivotField numFmtId="1" showAll="0"/>
    <pivotField showAll="0"/>
  </pivotFields>
  <rowFields count="1">
    <field x="3"/>
  </rowFields>
  <rowItems count="6">
    <i>
      <x/>
    </i>
    <i>
      <x v="1"/>
    </i>
    <i>
      <x v="2"/>
    </i>
    <i>
      <x v="3"/>
    </i>
    <i>
      <x v="4"/>
    </i>
    <i>
      <x v="5"/>
    </i>
  </rowItems>
  <colItems count="1">
    <i/>
  </colItems>
  <dataFields count="1">
    <dataField name="Average of Job Satisfaction (1-5)" fld="7" subtotal="average" baseField="3" baseItem="0" numFmtId="2"/>
  </dataFields>
  <formats count="19">
    <format dxfId="207">
      <pivotArea type="all" dataOnly="0" outline="0" fieldPosition="0"/>
    </format>
    <format dxfId="206">
      <pivotArea outline="0" collapsedLevelsAreSubtotals="1" fieldPosition="0"/>
    </format>
    <format dxfId="205">
      <pivotArea field="3" type="button" dataOnly="0" labelOnly="1" outline="0" axis="axisRow" fieldPosition="0"/>
    </format>
    <format dxfId="204">
      <pivotArea dataOnly="0" labelOnly="1" fieldPosition="0">
        <references count="1">
          <reference field="3" count="0"/>
        </references>
      </pivotArea>
    </format>
    <format dxfId="203">
      <pivotArea dataOnly="0" labelOnly="1" grandRow="1" outline="0"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field="3" type="button" dataOnly="0" labelOnly="1" outline="0" axis="axisRow" fieldPosition="0"/>
    </format>
    <format dxfId="198">
      <pivotArea dataOnly="0" labelOnly="1" fieldPosition="0">
        <references count="1">
          <reference field="3" count="0"/>
        </references>
      </pivotArea>
    </format>
    <format dxfId="197">
      <pivotArea dataOnly="0" labelOnly="1" grandRow="1" outline="0" fieldPosition="0"/>
    </format>
    <format dxfId="196">
      <pivotArea dataOnly="0" labelOnly="1" outline="0" axis="axisValues" fieldPosition="0"/>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field="3" type="button" dataOnly="0" labelOnly="1" outline="0" axis="axisRow" fieldPosition="0"/>
    </format>
    <format dxfId="191">
      <pivotArea dataOnly="0" labelOnly="1" fieldPosition="0">
        <references count="1">
          <reference field="3" count="0"/>
        </references>
      </pivotArea>
    </format>
    <format dxfId="190">
      <pivotArea dataOnly="0" labelOnly="1" grandRow="1" outline="0" fieldPosition="0"/>
    </format>
    <format dxfId="189">
      <pivotArea dataOnly="0" labelOnly="1" outline="0" axis="axisValues" fieldPosition="0"/>
    </format>
  </format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9B12B36-6FD5-41C8-BFFC-A89FA3149461}" sourceName="Overtime">
  <pivotTables>
    <pivotTable tabId="3" name="PivotTable1"/>
    <pivotTable tabId="3" name="PivotTable13"/>
    <pivotTable tabId="3" name="PivotTable14"/>
    <pivotTable tabId="3" name="PivotTable2"/>
    <pivotTable tabId="3" name="PivotTable4"/>
  </pivotTables>
  <data>
    <tabular pivotCacheId="9879999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6071D4-1342-46DE-A57C-21845900C90C}" sourceName="Department">
  <pivotTables>
    <pivotTable tabId="3" name="PivotTable1"/>
    <pivotTable tabId="3" name="PivotTable13"/>
    <pivotTable tabId="3" name="PivotTable14"/>
    <pivotTable tabId="3" name="PivotTable2"/>
    <pivotTable tabId="3" name="PivotTable4"/>
  </pivotTables>
  <data>
    <tabular pivotCacheId="987999973">
      <items count="6">
        <i x="4" s="1"/>
        <i x="5"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43DE060D-72F4-4272-8271-61D12399A49E}" cache="Slicer_Overtime" caption="Overtime" rowHeight="241300"/>
  <slicer name="Department" xr10:uid="{AAC2606A-EB48-4AAA-BCBB-EC49C5BD09BC}"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5E98CD-D094-47EF-AFC4-21C05BA5290F}" name="Table2" displayName="Table2" ref="A1:M301" totalsRowShown="0" headerRowDxfId="224" dataDxfId="222" headerRowBorderDxfId="223" tableBorderDxfId="221">
  <autoFilter ref="A1:M301" xr:uid="{00000000-0009-0000-0000-000000000000}"/>
  <tableColumns count="13">
    <tableColumn id="1" xr3:uid="{B35EBA69-CA41-45B5-9A50-CD837C29B097}" name="Employee ID" dataDxfId="220"/>
    <tableColumn id="2" xr3:uid="{A410C998-934E-4171-82B9-76C98B3FD108}" name="Age" dataDxfId="219"/>
    <tableColumn id="3" xr3:uid="{63B85EB2-A2EB-4F1E-B43C-01F39CBB32F9}" name="Gender" dataDxfId="218"/>
    <tableColumn id="4" xr3:uid="{A8BD79C7-7324-4C36-A62C-B910A44BDDAD}" name="Department" dataDxfId="217"/>
    <tableColumn id="5" xr3:uid="{B4B52EDA-058F-4599-A6ED-91F9E699C908}" name="Education" dataDxfId="216"/>
    <tableColumn id="6" xr3:uid="{51D55BBC-89D0-46C0-BE9B-DCA2C8DEBE49}" name="Years of Experience" dataDxfId="215"/>
    <tableColumn id="7" xr3:uid="{DA11E633-B9F9-4A23-810B-58C3C4D31AAB}" name="Annual Salary" dataDxfId="214" dataCellStyle="Currency"/>
    <tableColumn id="8" xr3:uid="{73597F7E-DFDA-417A-A67C-063EC6486E05}" name="Job Satisfaction (1-5)" dataDxfId="213"/>
    <tableColumn id="9" xr3:uid="{8CB99F89-A021-45D2-9720-191A302BC9B1}" name="Performance Rating (1-5)" dataDxfId="212"/>
    <tableColumn id="10" xr3:uid="{605A714B-9575-4F55-ACD6-1DB32BBDF25E}" name="Overtime" dataDxfId="211"/>
    <tableColumn id="11" xr3:uid="{4C9C0D6D-AABA-4EC3-8222-5224AA4879BB}" name="Absence Days" dataDxfId="210"/>
    <tableColumn id="12" xr3:uid="{1DABEB1A-70CA-4313-A86B-40DA4FD6E128}" name="Training Hours" dataDxfId="209"/>
    <tableColumn id="13" xr3:uid="{A94AAE77-5B13-4FDA-91DD-24BD304DEC08}" name="Left Company" dataDxfId="20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3"/>
  <sheetViews>
    <sheetView workbookViewId="0">
      <pane ySplit="1" topLeftCell="A2" activePane="bottomLeft" state="frozen"/>
      <selection pane="bottomLeft" activeCell="A2" sqref="A2"/>
    </sheetView>
  </sheetViews>
  <sheetFormatPr defaultRowHeight="14.5" x14ac:dyDescent="0.35"/>
  <cols>
    <col min="1" max="1" width="16.6328125" style="5" customWidth="1"/>
    <col min="2" max="2" width="12" style="3" customWidth="1"/>
    <col min="3" max="3" width="12" style="5" customWidth="1"/>
    <col min="4" max="4" width="16.81640625" style="5" customWidth="1"/>
    <col min="5" max="5" width="14.1796875" style="5" customWidth="1"/>
    <col min="6" max="6" width="23.36328125" style="3" customWidth="1"/>
    <col min="7" max="7" width="16.90625" style="9" customWidth="1"/>
    <col min="8" max="8" width="24" style="3" customWidth="1"/>
    <col min="9" max="9" width="27.453125" style="3" customWidth="1"/>
    <col min="10" max="10" width="13.54296875" style="5" customWidth="1"/>
    <col min="11" max="11" width="17.1796875" style="3" customWidth="1"/>
    <col min="12" max="12" width="18.26953125" style="3" customWidth="1"/>
    <col min="13" max="13" width="18.1796875" style="5" customWidth="1"/>
  </cols>
  <sheetData>
    <row r="1" spans="1:14" x14ac:dyDescent="0.35">
      <c r="A1" s="30" t="s">
        <v>0</v>
      </c>
      <c r="B1" s="31" t="s">
        <v>1</v>
      </c>
      <c r="C1" s="30" t="s">
        <v>2</v>
      </c>
      <c r="D1" s="30" t="s">
        <v>3</v>
      </c>
      <c r="E1" s="30" t="s">
        <v>4</v>
      </c>
      <c r="F1" s="31" t="s">
        <v>5</v>
      </c>
      <c r="G1" s="32" t="s">
        <v>6</v>
      </c>
      <c r="H1" s="31" t="s">
        <v>7</v>
      </c>
      <c r="I1" s="31" t="s">
        <v>8</v>
      </c>
      <c r="J1" s="30" t="s">
        <v>9</v>
      </c>
      <c r="K1" s="31" t="s">
        <v>10</v>
      </c>
      <c r="L1" s="31" t="s">
        <v>11</v>
      </c>
      <c r="M1" s="30" t="s">
        <v>12</v>
      </c>
    </row>
    <row r="2" spans="1:14" x14ac:dyDescent="0.35">
      <c r="A2" s="33" t="s">
        <v>13</v>
      </c>
      <c r="B2" s="13">
        <v>27</v>
      </c>
      <c r="C2" s="33" t="s">
        <v>14</v>
      </c>
      <c r="D2" s="33" t="s">
        <v>15</v>
      </c>
      <c r="E2" s="33" t="s">
        <v>16</v>
      </c>
      <c r="F2" s="13">
        <v>4</v>
      </c>
      <c r="G2" s="34">
        <v>49700</v>
      </c>
      <c r="H2" s="13">
        <v>2</v>
      </c>
      <c r="I2" s="13">
        <v>3</v>
      </c>
      <c r="J2" s="33" t="s">
        <v>17</v>
      </c>
      <c r="K2" s="13">
        <v>3</v>
      </c>
      <c r="L2" s="13">
        <v>14</v>
      </c>
      <c r="M2" s="33" t="s">
        <v>17</v>
      </c>
    </row>
    <row r="3" spans="1:14" x14ac:dyDescent="0.35">
      <c r="A3" s="33" t="s">
        <v>18</v>
      </c>
      <c r="B3" s="13">
        <v>27</v>
      </c>
      <c r="C3" s="33" t="s">
        <v>19</v>
      </c>
      <c r="D3" s="33" t="s">
        <v>20</v>
      </c>
      <c r="E3" s="33" t="s">
        <v>21</v>
      </c>
      <c r="F3" s="13">
        <v>0</v>
      </c>
      <c r="G3" s="34">
        <v>40000</v>
      </c>
      <c r="H3" s="13">
        <v>5</v>
      </c>
      <c r="I3" s="13">
        <v>5</v>
      </c>
      <c r="J3" s="33" t="s">
        <v>17</v>
      </c>
      <c r="K3" s="13">
        <v>6</v>
      </c>
      <c r="L3" s="13">
        <v>36</v>
      </c>
      <c r="M3" s="33" t="s">
        <v>17</v>
      </c>
    </row>
    <row r="4" spans="1:14" x14ac:dyDescent="0.35">
      <c r="A4" s="33" t="s">
        <v>22</v>
      </c>
      <c r="B4" s="13">
        <v>24</v>
      </c>
      <c r="C4" s="33" t="s">
        <v>19</v>
      </c>
      <c r="D4" s="33" t="s">
        <v>23</v>
      </c>
      <c r="E4" s="33" t="s">
        <v>21</v>
      </c>
      <c r="F4" s="13">
        <v>0</v>
      </c>
      <c r="G4" s="34">
        <v>31600</v>
      </c>
      <c r="H4" s="13">
        <v>5</v>
      </c>
      <c r="I4" s="13">
        <v>5</v>
      </c>
      <c r="J4" s="33" t="s">
        <v>17</v>
      </c>
      <c r="K4" s="13">
        <v>10</v>
      </c>
      <c r="L4" s="13">
        <v>40</v>
      </c>
      <c r="M4" s="33" t="s">
        <v>17</v>
      </c>
    </row>
    <row r="5" spans="1:14" x14ac:dyDescent="0.35">
      <c r="A5" s="33" t="s">
        <v>24</v>
      </c>
      <c r="B5" s="13">
        <v>28</v>
      </c>
      <c r="C5" s="33" t="s">
        <v>19</v>
      </c>
      <c r="D5" s="33" t="s">
        <v>25</v>
      </c>
      <c r="E5" s="33" t="s">
        <v>16</v>
      </c>
      <c r="F5" s="13">
        <v>7</v>
      </c>
      <c r="G5" s="34">
        <v>65400</v>
      </c>
      <c r="H5" s="13">
        <v>3</v>
      </c>
      <c r="I5" s="13">
        <v>3</v>
      </c>
      <c r="J5" s="33" t="s">
        <v>17</v>
      </c>
      <c r="K5" s="13">
        <v>2</v>
      </c>
      <c r="L5" s="13">
        <v>45</v>
      </c>
      <c r="M5" s="33" t="s">
        <v>17</v>
      </c>
    </row>
    <row r="6" spans="1:14" x14ac:dyDescent="0.35">
      <c r="A6" s="33" t="s">
        <v>26</v>
      </c>
      <c r="B6" s="13">
        <v>29</v>
      </c>
      <c r="C6" s="33" t="s">
        <v>14</v>
      </c>
      <c r="D6" s="33" t="s">
        <v>27</v>
      </c>
      <c r="E6" s="33" t="s">
        <v>21</v>
      </c>
      <c r="F6" s="13">
        <v>2</v>
      </c>
      <c r="G6" s="34">
        <v>42500</v>
      </c>
      <c r="H6" s="13">
        <v>4</v>
      </c>
      <c r="I6" s="13">
        <v>4</v>
      </c>
      <c r="J6" s="33" t="s">
        <v>17</v>
      </c>
      <c r="K6" s="13">
        <v>3</v>
      </c>
      <c r="L6" s="13">
        <v>28</v>
      </c>
      <c r="M6" s="33" t="s">
        <v>17</v>
      </c>
    </row>
    <row r="7" spans="1:14" x14ac:dyDescent="0.35">
      <c r="A7" s="33" t="s">
        <v>28</v>
      </c>
      <c r="B7" s="13">
        <v>36</v>
      </c>
      <c r="C7" s="33" t="s">
        <v>14</v>
      </c>
      <c r="D7" s="33" t="s">
        <v>27</v>
      </c>
      <c r="E7" s="33" t="s">
        <v>21</v>
      </c>
      <c r="F7" s="13">
        <v>11</v>
      </c>
      <c r="G7" s="34">
        <v>64000</v>
      </c>
      <c r="H7" s="13">
        <v>3</v>
      </c>
      <c r="I7" s="13">
        <v>4</v>
      </c>
      <c r="J7" s="33" t="s">
        <v>17</v>
      </c>
      <c r="K7" s="13">
        <v>11</v>
      </c>
      <c r="L7" s="13">
        <v>19</v>
      </c>
      <c r="M7" s="33" t="s">
        <v>17</v>
      </c>
      <c r="N7" s="29"/>
    </row>
    <row r="8" spans="1:14" x14ac:dyDescent="0.35">
      <c r="A8" s="33" t="s">
        <v>29</v>
      </c>
      <c r="B8" s="13">
        <v>50</v>
      </c>
      <c r="C8" s="33" t="s">
        <v>14</v>
      </c>
      <c r="D8" s="33" t="s">
        <v>30</v>
      </c>
      <c r="E8" s="33" t="s">
        <v>31</v>
      </c>
      <c r="F8" s="13">
        <v>24</v>
      </c>
      <c r="G8" s="34">
        <v>87600</v>
      </c>
      <c r="H8" s="13">
        <v>4</v>
      </c>
      <c r="I8" s="13">
        <v>2</v>
      </c>
      <c r="J8" s="33" t="s">
        <v>32</v>
      </c>
      <c r="K8" s="13">
        <v>6</v>
      </c>
      <c r="L8" s="13">
        <v>10</v>
      </c>
      <c r="M8" s="33" t="s">
        <v>17</v>
      </c>
    </row>
    <row r="9" spans="1:14" x14ac:dyDescent="0.35">
      <c r="A9" s="33" t="s">
        <v>33</v>
      </c>
      <c r="B9" s="13">
        <v>54</v>
      </c>
      <c r="C9" s="33" t="s">
        <v>19</v>
      </c>
      <c r="D9" s="33" t="s">
        <v>20</v>
      </c>
      <c r="E9" s="33" t="s">
        <v>21</v>
      </c>
      <c r="F9" s="13">
        <v>28</v>
      </c>
      <c r="G9" s="34">
        <v>92800</v>
      </c>
      <c r="H9" s="13">
        <v>2</v>
      </c>
      <c r="I9" s="13">
        <v>4</v>
      </c>
      <c r="J9" s="33" t="s">
        <v>17</v>
      </c>
      <c r="K9" s="13">
        <v>3</v>
      </c>
      <c r="L9" s="13">
        <v>14</v>
      </c>
      <c r="M9" s="33" t="s">
        <v>17</v>
      </c>
    </row>
    <row r="10" spans="1:14" x14ac:dyDescent="0.35">
      <c r="A10" s="33" t="s">
        <v>34</v>
      </c>
      <c r="B10" s="13">
        <v>51</v>
      </c>
      <c r="C10" s="33" t="s">
        <v>19</v>
      </c>
      <c r="D10" s="33" t="s">
        <v>25</v>
      </c>
      <c r="E10" s="33" t="s">
        <v>31</v>
      </c>
      <c r="F10" s="13">
        <v>23</v>
      </c>
      <c r="G10" s="34">
        <v>103900</v>
      </c>
      <c r="H10" s="13">
        <v>4</v>
      </c>
      <c r="I10" s="13">
        <v>4</v>
      </c>
      <c r="J10" s="33" t="s">
        <v>32</v>
      </c>
      <c r="K10" s="13">
        <v>10</v>
      </c>
      <c r="L10" s="13">
        <v>42</v>
      </c>
      <c r="M10" s="33" t="s">
        <v>17</v>
      </c>
    </row>
    <row r="11" spans="1:14" x14ac:dyDescent="0.35">
      <c r="A11" s="33" t="s">
        <v>35</v>
      </c>
      <c r="B11" s="13">
        <v>60</v>
      </c>
      <c r="C11" s="33" t="s">
        <v>19</v>
      </c>
      <c r="D11" s="33" t="s">
        <v>23</v>
      </c>
      <c r="E11" s="33" t="s">
        <v>21</v>
      </c>
      <c r="F11" s="13">
        <v>31</v>
      </c>
      <c r="G11" s="34">
        <v>100700</v>
      </c>
      <c r="H11" s="13">
        <v>2</v>
      </c>
      <c r="I11" s="13">
        <v>3</v>
      </c>
      <c r="J11" s="33" t="s">
        <v>32</v>
      </c>
      <c r="K11" s="13">
        <v>6</v>
      </c>
      <c r="L11" s="13">
        <v>4</v>
      </c>
      <c r="M11" s="33" t="s">
        <v>32</v>
      </c>
    </row>
    <row r="12" spans="1:14" x14ac:dyDescent="0.35">
      <c r="A12" s="33" t="s">
        <v>36</v>
      </c>
      <c r="B12" s="13">
        <v>48</v>
      </c>
      <c r="C12" s="33" t="s">
        <v>14</v>
      </c>
      <c r="D12" s="33" t="s">
        <v>30</v>
      </c>
      <c r="E12" s="33" t="s">
        <v>21</v>
      </c>
      <c r="F12" s="13">
        <v>26</v>
      </c>
      <c r="G12" s="34">
        <v>100400</v>
      </c>
      <c r="H12" s="13">
        <v>4</v>
      </c>
      <c r="I12" s="13">
        <v>3</v>
      </c>
      <c r="J12" s="33" t="s">
        <v>17</v>
      </c>
      <c r="K12" s="13">
        <v>10</v>
      </c>
      <c r="L12" s="13">
        <v>37</v>
      </c>
      <c r="M12" s="33" t="s">
        <v>17</v>
      </c>
    </row>
    <row r="13" spans="1:14" x14ac:dyDescent="0.35">
      <c r="A13" s="33" t="s">
        <v>37</v>
      </c>
      <c r="B13" s="13">
        <v>57</v>
      </c>
      <c r="C13" s="33" t="s">
        <v>19</v>
      </c>
      <c r="D13" s="33" t="s">
        <v>20</v>
      </c>
      <c r="E13" s="33" t="s">
        <v>16</v>
      </c>
      <c r="F13" s="13">
        <v>28</v>
      </c>
      <c r="G13" s="34">
        <v>96900</v>
      </c>
      <c r="H13" s="13">
        <v>4</v>
      </c>
      <c r="I13" s="13">
        <v>4</v>
      </c>
      <c r="J13" s="33" t="s">
        <v>17</v>
      </c>
      <c r="K13" s="13">
        <v>3</v>
      </c>
      <c r="L13" s="13">
        <v>17</v>
      </c>
      <c r="M13" s="33" t="s">
        <v>17</v>
      </c>
    </row>
    <row r="14" spans="1:14" x14ac:dyDescent="0.35">
      <c r="A14" s="33" t="s">
        <v>38</v>
      </c>
      <c r="B14" s="13">
        <v>50</v>
      </c>
      <c r="C14" s="33" t="s">
        <v>19</v>
      </c>
      <c r="D14" s="33" t="s">
        <v>20</v>
      </c>
      <c r="E14" s="33" t="s">
        <v>16</v>
      </c>
      <c r="F14" s="13">
        <v>20</v>
      </c>
      <c r="G14" s="34">
        <v>89600</v>
      </c>
      <c r="H14" s="13">
        <v>4</v>
      </c>
      <c r="I14" s="13">
        <v>4</v>
      </c>
      <c r="J14" s="33" t="s">
        <v>17</v>
      </c>
      <c r="K14" s="13">
        <v>5</v>
      </c>
      <c r="L14" s="13">
        <v>19</v>
      </c>
      <c r="M14" s="33" t="s">
        <v>17</v>
      </c>
    </row>
    <row r="15" spans="1:14" x14ac:dyDescent="0.35">
      <c r="A15" s="33" t="s">
        <v>39</v>
      </c>
      <c r="B15" s="13">
        <v>59</v>
      </c>
      <c r="C15" s="33" t="s">
        <v>19</v>
      </c>
      <c r="D15" s="33" t="s">
        <v>27</v>
      </c>
      <c r="E15" s="33" t="s">
        <v>16</v>
      </c>
      <c r="F15" s="13">
        <v>30</v>
      </c>
      <c r="G15" s="34">
        <v>116400</v>
      </c>
      <c r="H15" s="13">
        <v>1</v>
      </c>
      <c r="I15" s="13">
        <v>2</v>
      </c>
      <c r="J15" s="33" t="s">
        <v>17</v>
      </c>
      <c r="K15" s="13">
        <v>10</v>
      </c>
      <c r="L15" s="13">
        <v>20</v>
      </c>
      <c r="M15" s="33" t="s">
        <v>32</v>
      </c>
    </row>
    <row r="16" spans="1:14" x14ac:dyDescent="0.35">
      <c r="A16" s="33" t="s">
        <v>40</v>
      </c>
      <c r="B16" s="13">
        <v>54</v>
      </c>
      <c r="C16" s="33" t="s">
        <v>19</v>
      </c>
      <c r="D16" s="33" t="s">
        <v>27</v>
      </c>
      <c r="E16" s="33" t="s">
        <v>41</v>
      </c>
      <c r="F16" s="13">
        <v>24</v>
      </c>
      <c r="G16" s="34">
        <v>106600</v>
      </c>
      <c r="H16" s="13">
        <v>3</v>
      </c>
      <c r="I16" s="13">
        <v>4</v>
      </c>
      <c r="J16" s="33" t="s">
        <v>17</v>
      </c>
      <c r="K16" s="13">
        <v>5</v>
      </c>
      <c r="L16" s="13">
        <v>19</v>
      </c>
      <c r="M16" s="33" t="s">
        <v>17</v>
      </c>
    </row>
    <row r="17" spans="1:13" x14ac:dyDescent="0.35">
      <c r="A17" s="33" t="s">
        <v>42</v>
      </c>
      <c r="B17" s="13">
        <v>58</v>
      </c>
      <c r="C17" s="33" t="s">
        <v>14</v>
      </c>
      <c r="D17" s="33" t="s">
        <v>27</v>
      </c>
      <c r="E17" s="33" t="s">
        <v>21</v>
      </c>
      <c r="F17" s="13">
        <v>28</v>
      </c>
      <c r="G17" s="34">
        <v>97600</v>
      </c>
      <c r="H17" s="13">
        <v>3</v>
      </c>
      <c r="I17" s="13">
        <v>4</v>
      </c>
      <c r="J17" s="33" t="s">
        <v>32</v>
      </c>
      <c r="K17" s="13">
        <v>11</v>
      </c>
      <c r="L17" s="13">
        <v>38</v>
      </c>
      <c r="M17" s="33" t="s">
        <v>32</v>
      </c>
    </row>
    <row r="18" spans="1:13" x14ac:dyDescent="0.35">
      <c r="A18" s="33" t="s">
        <v>43</v>
      </c>
      <c r="B18" s="13">
        <v>48</v>
      </c>
      <c r="C18" s="33" t="s">
        <v>14</v>
      </c>
      <c r="D18" s="33" t="s">
        <v>15</v>
      </c>
      <c r="E18" s="33" t="s">
        <v>21</v>
      </c>
      <c r="F18" s="13">
        <v>21</v>
      </c>
      <c r="G18" s="34">
        <v>89400</v>
      </c>
      <c r="H18" s="13">
        <v>3</v>
      </c>
      <c r="I18" s="13">
        <v>5</v>
      </c>
      <c r="J18" s="33" t="s">
        <v>32</v>
      </c>
      <c r="K18" s="13">
        <v>7</v>
      </c>
      <c r="L18" s="13">
        <v>49</v>
      </c>
      <c r="M18" s="33" t="s">
        <v>17</v>
      </c>
    </row>
    <row r="19" spans="1:13" x14ac:dyDescent="0.35">
      <c r="A19" s="33" t="s">
        <v>44</v>
      </c>
      <c r="B19" s="13">
        <v>54</v>
      </c>
      <c r="C19" s="33" t="s">
        <v>19</v>
      </c>
      <c r="D19" s="33" t="s">
        <v>25</v>
      </c>
      <c r="E19" s="33" t="s">
        <v>16</v>
      </c>
      <c r="F19" s="13">
        <v>33</v>
      </c>
      <c r="G19" s="34">
        <v>112800</v>
      </c>
      <c r="H19" s="13">
        <v>2</v>
      </c>
      <c r="I19" s="13">
        <v>2</v>
      </c>
      <c r="J19" s="33" t="s">
        <v>17</v>
      </c>
      <c r="K19" s="13">
        <v>14</v>
      </c>
      <c r="L19" s="13">
        <v>14</v>
      </c>
      <c r="M19" s="33" t="s">
        <v>17</v>
      </c>
    </row>
    <row r="20" spans="1:13" x14ac:dyDescent="0.35">
      <c r="A20" s="33" t="s">
        <v>45</v>
      </c>
      <c r="B20" s="13">
        <v>25</v>
      </c>
      <c r="C20" s="33" t="s">
        <v>14</v>
      </c>
      <c r="D20" s="33" t="s">
        <v>15</v>
      </c>
      <c r="E20" s="33" t="s">
        <v>21</v>
      </c>
      <c r="F20" s="13">
        <v>0</v>
      </c>
      <c r="G20" s="34">
        <v>61800</v>
      </c>
      <c r="H20" s="13">
        <v>5</v>
      </c>
      <c r="I20" s="13">
        <v>4</v>
      </c>
      <c r="J20" s="33" t="s">
        <v>17</v>
      </c>
      <c r="K20" s="13">
        <v>12</v>
      </c>
      <c r="L20" s="13">
        <v>22</v>
      </c>
      <c r="M20" s="33" t="s">
        <v>17</v>
      </c>
    </row>
    <row r="21" spans="1:13" x14ac:dyDescent="0.35">
      <c r="A21" s="33" t="s">
        <v>46</v>
      </c>
      <c r="B21" s="13">
        <v>43</v>
      </c>
      <c r="C21" s="33" t="s">
        <v>14</v>
      </c>
      <c r="D21" s="33" t="s">
        <v>15</v>
      </c>
      <c r="E21" s="33" t="s">
        <v>41</v>
      </c>
      <c r="F21" s="13">
        <v>13</v>
      </c>
      <c r="G21" s="34">
        <v>87400</v>
      </c>
      <c r="H21" s="13">
        <v>4</v>
      </c>
      <c r="I21" s="13">
        <v>4</v>
      </c>
      <c r="J21" s="33" t="s">
        <v>32</v>
      </c>
      <c r="K21" s="13">
        <v>2</v>
      </c>
      <c r="L21" s="13">
        <v>25</v>
      </c>
      <c r="M21" s="33" t="s">
        <v>32</v>
      </c>
    </row>
    <row r="22" spans="1:13" x14ac:dyDescent="0.35">
      <c r="A22" s="33" t="s">
        <v>47</v>
      </c>
      <c r="B22" s="13">
        <v>23</v>
      </c>
      <c r="C22" s="33" t="s">
        <v>19</v>
      </c>
      <c r="D22" s="33" t="s">
        <v>25</v>
      </c>
      <c r="E22" s="33" t="s">
        <v>31</v>
      </c>
      <c r="F22" s="13">
        <v>0</v>
      </c>
      <c r="G22" s="34">
        <v>39700</v>
      </c>
      <c r="H22" s="13">
        <v>3</v>
      </c>
      <c r="I22" s="13">
        <v>4</v>
      </c>
      <c r="J22" s="33" t="s">
        <v>32</v>
      </c>
      <c r="K22" s="13">
        <v>10</v>
      </c>
      <c r="L22" s="13">
        <v>33</v>
      </c>
      <c r="M22" s="33" t="s">
        <v>17</v>
      </c>
    </row>
    <row r="23" spans="1:13" x14ac:dyDescent="0.35">
      <c r="A23" s="33" t="s">
        <v>48</v>
      </c>
      <c r="B23" s="13">
        <v>31</v>
      </c>
      <c r="C23" s="33" t="s">
        <v>19</v>
      </c>
      <c r="D23" s="33" t="s">
        <v>27</v>
      </c>
      <c r="E23" s="33" t="s">
        <v>41</v>
      </c>
      <c r="F23" s="13">
        <v>5</v>
      </c>
      <c r="G23" s="34">
        <v>77500</v>
      </c>
      <c r="H23" s="13">
        <v>3</v>
      </c>
      <c r="I23" s="13">
        <v>3</v>
      </c>
      <c r="J23" s="33" t="s">
        <v>32</v>
      </c>
      <c r="K23" s="13">
        <v>4</v>
      </c>
      <c r="L23" s="13">
        <v>20</v>
      </c>
      <c r="M23" s="33" t="s">
        <v>17</v>
      </c>
    </row>
    <row r="24" spans="1:13" x14ac:dyDescent="0.35">
      <c r="A24" s="33" t="s">
        <v>49</v>
      </c>
      <c r="B24" s="13">
        <v>26</v>
      </c>
      <c r="C24" s="33" t="s">
        <v>14</v>
      </c>
      <c r="D24" s="33" t="s">
        <v>15</v>
      </c>
      <c r="E24" s="33" t="s">
        <v>31</v>
      </c>
      <c r="F24" s="13">
        <v>0</v>
      </c>
      <c r="G24" s="34">
        <v>38900</v>
      </c>
      <c r="H24" s="13">
        <v>3</v>
      </c>
      <c r="I24" s="13">
        <v>4</v>
      </c>
      <c r="J24" s="33" t="s">
        <v>17</v>
      </c>
      <c r="K24" s="13">
        <v>7</v>
      </c>
      <c r="L24" s="13">
        <v>44</v>
      </c>
      <c r="M24" s="33" t="s">
        <v>17</v>
      </c>
    </row>
    <row r="25" spans="1:13" x14ac:dyDescent="0.35">
      <c r="A25" s="33" t="s">
        <v>50</v>
      </c>
      <c r="B25" s="13">
        <v>31</v>
      </c>
      <c r="C25" s="33" t="s">
        <v>19</v>
      </c>
      <c r="D25" s="33" t="s">
        <v>15</v>
      </c>
      <c r="E25" s="33" t="s">
        <v>16</v>
      </c>
      <c r="F25" s="13">
        <v>4</v>
      </c>
      <c r="G25" s="34">
        <v>61100</v>
      </c>
      <c r="H25" s="13">
        <v>4</v>
      </c>
      <c r="I25" s="13">
        <v>3</v>
      </c>
      <c r="J25" s="33" t="s">
        <v>32</v>
      </c>
      <c r="K25" s="13">
        <v>8</v>
      </c>
      <c r="L25" s="13">
        <v>36</v>
      </c>
      <c r="M25" s="33" t="s">
        <v>17</v>
      </c>
    </row>
    <row r="26" spans="1:13" x14ac:dyDescent="0.35">
      <c r="A26" s="33" t="s">
        <v>51</v>
      </c>
      <c r="B26" s="13">
        <v>54</v>
      </c>
      <c r="C26" s="33" t="s">
        <v>14</v>
      </c>
      <c r="D26" s="33" t="s">
        <v>25</v>
      </c>
      <c r="E26" s="33" t="s">
        <v>21</v>
      </c>
      <c r="F26" s="13">
        <v>29</v>
      </c>
      <c r="G26" s="34">
        <v>97900</v>
      </c>
      <c r="H26" s="13">
        <v>3</v>
      </c>
      <c r="I26" s="13">
        <v>3</v>
      </c>
      <c r="J26" s="33" t="s">
        <v>17</v>
      </c>
      <c r="K26" s="13">
        <v>2</v>
      </c>
      <c r="L26" s="13">
        <v>8</v>
      </c>
      <c r="M26" s="33" t="s">
        <v>17</v>
      </c>
    </row>
    <row r="27" spans="1:13" x14ac:dyDescent="0.35">
      <c r="A27" s="33" t="s">
        <v>52</v>
      </c>
      <c r="B27" s="13">
        <v>59</v>
      </c>
      <c r="C27" s="33" t="s">
        <v>19</v>
      </c>
      <c r="D27" s="33" t="s">
        <v>20</v>
      </c>
      <c r="E27" s="33" t="s">
        <v>41</v>
      </c>
      <c r="F27" s="13">
        <v>32</v>
      </c>
      <c r="G27" s="34">
        <v>119800</v>
      </c>
      <c r="H27" s="13">
        <v>5</v>
      </c>
      <c r="I27" s="13">
        <v>4</v>
      </c>
      <c r="J27" s="33" t="s">
        <v>17</v>
      </c>
      <c r="K27" s="13">
        <v>10</v>
      </c>
      <c r="L27" s="13">
        <v>33</v>
      </c>
      <c r="M27" s="33" t="s">
        <v>17</v>
      </c>
    </row>
    <row r="28" spans="1:13" x14ac:dyDescent="0.35">
      <c r="A28" s="33" t="s">
        <v>53</v>
      </c>
      <c r="B28" s="13">
        <v>34</v>
      </c>
      <c r="C28" s="33" t="s">
        <v>14</v>
      </c>
      <c r="D28" s="33" t="s">
        <v>27</v>
      </c>
      <c r="E28" s="33" t="s">
        <v>31</v>
      </c>
      <c r="F28" s="13">
        <v>5</v>
      </c>
      <c r="G28" s="34">
        <v>49700</v>
      </c>
      <c r="H28" s="13">
        <v>3</v>
      </c>
      <c r="I28" s="13">
        <v>3</v>
      </c>
      <c r="J28" s="33" t="s">
        <v>17</v>
      </c>
      <c r="K28" s="13">
        <v>7</v>
      </c>
      <c r="L28" s="13">
        <v>40</v>
      </c>
      <c r="M28" s="33" t="s">
        <v>17</v>
      </c>
    </row>
    <row r="29" spans="1:13" x14ac:dyDescent="0.35">
      <c r="A29" s="33" t="s">
        <v>54</v>
      </c>
      <c r="B29" s="13">
        <v>52</v>
      </c>
      <c r="C29" s="33" t="s">
        <v>19</v>
      </c>
      <c r="D29" s="33" t="s">
        <v>25</v>
      </c>
      <c r="E29" s="33" t="s">
        <v>21</v>
      </c>
      <c r="F29" s="13">
        <v>29</v>
      </c>
      <c r="G29" s="34">
        <v>94700</v>
      </c>
      <c r="H29" s="13">
        <v>5</v>
      </c>
      <c r="I29" s="13">
        <v>3</v>
      </c>
      <c r="J29" s="33" t="s">
        <v>17</v>
      </c>
      <c r="K29" s="13">
        <v>5</v>
      </c>
      <c r="L29" s="13">
        <v>16</v>
      </c>
      <c r="M29" s="33" t="s">
        <v>17</v>
      </c>
    </row>
    <row r="30" spans="1:13" x14ac:dyDescent="0.35">
      <c r="A30" s="33" t="s">
        <v>55</v>
      </c>
      <c r="B30" s="13">
        <v>57</v>
      </c>
      <c r="C30" s="33" t="s">
        <v>14</v>
      </c>
      <c r="D30" s="33" t="s">
        <v>25</v>
      </c>
      <c r="E30" s="33" t="s">
        <v>41</v>
      </c>
      <c r="F30" s="13">
        <v>29</v>
      </c>
      <c r="G30" s="34">
        <v>115200</v>
      </c>
      <c r="H30" s="13">
        <v>5</v>
      </c>
      <c r="I30" s="13">
        <v>4</v>
      </c>
      <c r="J30" s="33" t="s">
        <v>32</v>
      </c>
      <c r="K30" s="13">
        <v>6</v>
      </c>
      <c r="L30" s="13">
        <v>23</v>
      </c>
      <c r="M30" s="33" t="s">
        <v>17</v>
      </c>
    </row>
    <row r="31" spans="1:13" x14ac:dyDescent="0.35">
      <c r="A31" s="33" t="s">
        <v>56</v>
      </c>
      <c r="B31" s="13">
        <v>45</v>
      </c>
      <c r="C31" s="33" t="s">
        <v>14</v>
      </c>
      <c r="D31" s="33" t="s">
        <v>30</v>
      </c>
      <c r="E31" s="33" t="s">
        <v>21</v>
      </c>
      <c r="F31" s="13">
        <v>23</v>
      </c>
      <c r="G31" s="34">
        <v>79200</v>
      </c>
      <c r="H31" s="13">
        <v>2</v>
      </c>
      <c r="I31" s="13">
        <v>4</v>
      </c>
      <c r="J31" s="33" t="s">
        <v>17</v>
      </c>
      <c r="K31" s="13">
        <v>7</v>
      </c>
      <c r="L31" s="13">
        <v>21</v>
      </c>
      <c r="M31" s="33" t="s">
        <v>17</v>
      </c>
    </row>
    <row r="32" spans="1:13" x14ac:dyDescent="0.35">
      <c r="A32" s="33" t="s">
        <v>57</v>
      </c>
      <c r="B32" s="13">
        <v>36</v>
      </c>
      <c r="C32" s="33" t="s">
        <v>14</v>
      </c>
      <c r="D32" s="33" t="s">
        <v>25</v>
      </c>
      <c r="E32" s="33" t="s">
        <v>16</v>
      </c>
      <c r="F32" s="13">
        <v>9</v>
      </c>
      <c r="G32" s="34">
        <v>69700</v>
      </c>
      <c r="H32" s="13">
        <v>5</v>
      </c>
      <c r="I32" s="13">
        <v>3</v>
      </c>
      <c r="J32" s="33" t="s">
        <v>17</v>
      </c>
      <c r="K32" s="13">
        <v>8</v>
      </c>
      <c r="L32" s="13">
        <v>16</v>
      </c>
      <c r="M32" s="33" t="s">
        <v>17</v>
      </c>
    </row>
    <row r="33" spans="1:13" x14ac:dyDescent="0.35">
      <c r="A33" s="33" t="s">
        <v>58</v>
      </c>
      <c r="B33" s="13">
        <v>50</v>
      </c>
      <c r="C33" s="33" t="s">
        <v>19</v>
      </c>
      <c r="D33" s="33" t="s">
        <v>27</v>
      </c>
      <c r="E33" s="33" t="s">
        <v>16</v>
      </c>
      <c r="F33" s="13">
        <v>28</v>
      </c>
      <c r="G33" s="34">
        <v>113000</v>
      </c>
      <c r="H33" s="13">
        <v>2</v>
      </c>
      <c r="I33" s="13">
        <v>3</v>
      </c>
      <c r="J33" s="33" t="s">
        <v>17</v>
      </c>
      <c r="K33" s="13">
        <v>6</v>
      </c>
      <c r="L33" s="13">
        <v>2</v>
      </c>
      <c r="M33" s="33" t="s">
        <v>32</v>
      </c>
    </row>
    <row r="34" spans="1:13" x14ac:dyDescent="0.35">
      <c r="A34" s="33" t="s">
        <v>59</v>
      </c>
      <c r="B34" s="13">
        <v>29</v>
      </c>
      <c r="C34" s="33" t="s">
        <v>14</v>
      </c>
      <c r="D34" s="33" t="s">
        <v>30</v>
      </c>
      <c r="E34" s="33" t="s">
        <v>21</v>
      </c>
      <c r="F34" s="13">
        <v>5</v>
      </c>
      <c r="G34" s="34">
        <v>43500</v>
      </c>
      <c r="H34" s="13">
        <v>4</v>
      </c>
      <c r="I34" s="13">
        <v>4</v>
      </c>
      <c r="J34" s="33" t="s">
        <v>17</v>
      </c>
      <c r="K34" s="13">
        <v>0</v>
      </c>
      <c r="L34" s="13">
        <v>11</v>
      </c>
      <c r="M34" s="33" t="s">
        <v>17</v>
      </c>
    </row>
    <row r="35" spans="1:13" x14ac:dyDescent="0.35">
      <c r="A35" s="33" t="s">
        <v>60</v>
      </c>
      <c r="B35" s="13">
        <v>26</v>
      </c>
      <c r="C35" s="33" t="s">
        <v>14</v>
      </c>
      <c r="D35" s="33" t="s">
        <v>20</v>
      </c>
      <c r="E35" s="33" t="s">
        <v>16</v>
      </c>
      <c r="F35" s="13">
        <v>0</v>
      </c>
      <c r="G35" s="34">
        <v>39900</v>
      </c>
      <c r="H35" s="13">
        <v>3</v>
      </c>
      <c r="I35" s="13">
        <v>3</v>
      </c>
      <c r="J35" s="33" t="s">
        <v>17</v>
      </c>
      <c r="K35" s="13">
        <v>6</v>
      </c>
      <c r="L35" s="13">
        <v>23</v>
      </c>
      <c r="M35" s="33" t="s">
        <v>17</v>
      </c>
    </row>
    <row r="36" spans="1:13" x14ac:dyDescent="0.35">
      <c r="A36" s="33" t="s">
        <v>61</v>
      </c>
      <c r="B36" s="13">
        <v>50</v>
      </c>
      <c r="C36" s="33" t="s">
        <v>19</v>
      </c>
      <c r="D36" s="33" t="s">
        <v>20</v>
      </c>
      <c r="E36" s="33" t="s">
        <v>16</v>
      </c>
      <c r="F36" s="13">
        <v>27</v>
      </c>
      <c r="G36" s="34">
        <v>104300</v>
      </c>
      <c r="H36" s="13">
        <v>5</v>
      </c>
      <c r="I36" s="13">
        <v>4</v>
      </c>
      <c r="J36" s="33" t="s">
        <v>17</v>
      </c>
      <c r="K36" s="13">
        <v>0</v>
      </c>
      <c r="L36" s="13">
        <v>45</v>
      </c>
      <c r="M36" s="33" t="s">
        <v>17</v>
      </c>
    </row>
    <row r="37" spans="1:13" x14ac:dyDescent="0.35">
      <c r="A37" s="33" t="s">
        <v>62</v>
      </c>
      <c r="B37" s="13">
        <v>25</v>
      </c>
      <c r="C37" s="33" t="s">
        <v>19</v>
      </c>
      <c r="D37" s="33" t="s">
        <v>20</v>
      </c>
      <c r="E37" s="33" t="s">
        <v>16</v>
      </c>
      <c r="F37" s="13">
        <v>3</v>
      </c>
      <c r="G37" s="34">
        <v>44000</v>
      </c>
      <c r="H37" s="13">
        <v>5</v>
      </c>
      <c r="I37" s="13">
        <v>4</v>
      </c>
      <c r="J37" s="33" t="s">
        <v>32</v>
      </c>
      <c r="K37" s="13">
        <v>7</v>
      </c>
      <c r="L37" s="13">
        <v>20</v>
      </c>
      <c r="M37" s="33" t="s">
        <v>17</v>
      </c>
    </row>
    <row r="38" spans="1:13" x14ac:dyDescent="0.35">
      <c r="A38" s="33" t="s">
        <v>63</v>
      </c>
      <c r="B38" s="13">
        <v>33</v>
      </c>
      <c r="C38" s="33" t="s">
        <v>14</v>
      </c>
      <c r="D38" s="33" t="s">
        <v>15</v>
      </c>
      <c r="E38" s="33" t="s">
        <v>31</v>
      </c>
      <c r="F38" s="13">
        <v>3</v>
      </c>
      <c r="G38" s="34">
        <v>64300</v>
      </c>
      <c r="H38" s="13">
        <v>4</v>
      </c>
      <c r="I38" s="13">
        <v>4</v>
      </c>
      <c r="J38" s="33" t="s">
        <v>17</v>
      </c>
      <c r="K38" s="13">
        <v>0</v>
      </c>
      <c r="L38" s="13">
        <v>19</v>
      </c>
      <c r="M38" s="33" t="s">
        <v>17</v>
      </c>
    </row>
    <row r="39" spans="1:13" x14ac:dyDescent="0.35">
      <c r="A39" s="33" t="s">
        <v>64</v>
      </c>
      <c r="B39" s="13">
        <v>23</v>
      </c>
      <c r="C39" s="33" t="s">
        <v>14</v>
      </c>
      <c r="D39" s="33" t="s">
        <v>30</v>
      </c>
      <c r="E39" s="33" t="s">
        <v>21</v>
      </c>
      <c r="F39" s="13">
        <v>0</v>
      </c>
      <c r="G39" s="34">
        <v>38500</v>
      </c>
      <c r="H39" s="13">
        <v>4</v>
      </c>
      <c r="I39" s="13">
        <v>5</v>
      </c>
      <c r="J39" s="33" t="s">
        <v>17</v>
      </c>
      <c r="K39" s="13">
        <v>0</v>
      </c>
      <c r="L39" s="13">
        <v>47</v>
      </c>
      <c r="M39" s="33" t="s">
        <v>17</v>
      </c>
    </row>
    <row r="40" spans="1:13" x14ac:dyDescent="0.35">
      <c r="A40" s="33" t="s">
        <v>65</v>
      </c>
      <c r="B40" s="13">
        <v>48</v>
      </c>
      <c r="C40" s="33" t="s">
        <v>19</v>
      </c>
      <c r="D40" s="33" t="s">
        <v>23</v>
      </c>
      <c r="E40" s="33" t="s">
        <v>41</v>
      </c>
      <c r="F40" s="13">
        <v>27</v>
      </c>
      <c r="G40" s="34">
        <v>112200</v>
      </c>
      <c r="H40" s="13">
        <v>3</v>
      </c>
      <c r="I40" s="13">
        <v>3</v>
      </c>
      <c r="J40" s="33" t="s">
        <v>17</v>
      </c>
      <c r="K40" s="13">
        <v>11</v>
      </c>
      <c r="L40" s="13">
        <v>9</v>
      </c>
      <c r="M40" s="33" t="s">
        <v>17</v>
      </c>
    </row>
    <row r="41" spans="1:13" x14ac:dyDescent="0.35">
      <c r="A41" s="33" t="s">
        <v>66</v>
      </c>
      <c r="B41" s="13">
        <v>52</v>
      </c>
      <c r="C41" s="33" t="s">
        <v>19</v>
      </c>
      <c r="D41" s="33" t="s">
        <v>25</v>
      </c>
      <c r="E41" s="33" t="s">
        <v>16</v>
      </c>
      <c r="F41" s="13">
        <v>24</v>
      </c>
      <c r="G41" s="34">
        <v>100600</v>
      </c>
      <c r="H41" s="13">
        <v>2</v>
      </c>
      <c r="I41" s="13">
        <v>3</v>
      </c>
      <c r="J41" s="33" t="s">
        <v>32</v>
      </c>
      <c r="K41" s="13">
        <v>6</v>
      </c>
      <c r="L41" s="13">
        <v>2</v>
      </c>
      <c r="M41" s="33" t="s">
        <v>17</v>
      </c>
    </row>
    <row r="42" spans="1:13" x14ac:dyDescent="0.35">
      <c r="A42" s="33" t="s">
        <v>67</v>
      </c>
      <c r="B42" s="13">
        <v>57</v>
      </c>
      <c r="C42" s="33" t="s">
        <v>19</v>
      </c>
      <c r="D42" s="33" t="s">
        <v>27</v>
      </c>
      <c r="E42" s="33" t="s">
        <v>21</v>
      </c>
      <c r="F42" s="13">
        <v>34</v>
      </c>
      <c r="G42" s="34">
        <v>110700</v>
      </c>
      <c r="H42" s="13">
        <v>3</v>
      </c>
      <c r="I42" s="13">
        <v>4</v>
      </c>
      <c r="J42" s="33" t="s">
        <v>32</v>
      </c>
      <c r="K42" s="13">
        <v>6</v>
      </c>
      <c r="L42" s="13">
        <v>17</v>
      </c>
      <c r="M42" s="33" t="s">
        <v>32</v>
      </c>
    </row>
    <row r="43" spans="1:13" x14ac:dyDescent="0.35">
      <c r="A43" s="33" t="s">
        <v>68</v>
      </c>
      <c r="B43" s="13">
        <v>57</v>
      </c>
      <c r="C43" s="33" t="s">
        <v>19</v>
      </c>
      <c r="D43" s="33" t="s">
        <v>25</v>
      </c>
      <c r="E43" s="33" t="s">
        <v>16</v>
      </c>
      <c r="F43" s="13">
        <v>35</v>
      </c>
      <c r="G43" s="34">
        <v>127600</v>
      </c>
      <c r="H43" s="13">
        <v>2</v>
      </c>
      <c r="I43" s="13">
        <v>3</v>
      </c>
      <c r="J43" s="33" t="s">
        <v>32</v>
      </c>
      <c r="K43" s="13">
        <v>9</v>
      </c>
      <c r="L43" s="13">
        <v>14</v>
      </c>
      <c r="M43" s="33" t="s">
        <v>17</v>
      </c>
    </row>
    <row r="44" spans="1:13" x14ac:dyDescent="0.35">
      <c r="A44" s="33" t="s">
        <v>69</v>
      </c>
      <c r="B44" s="13">
        <v>47</v>
      </c>
      <c r="C44" s="33" t="s">
        <v>19</v>
      </c>
      <c r="D44" s="33" t="s">
        <v>30</v>
      </c>
      <c r="E44" s="33" t="s">
        <v>21</v>
      </c>
      <c r="F44" s="13">
        <v>24</v>
      </c>
      <c r="G44" s="34">
        <v>89600</v>
      </c>
      <c r="H44" s="13">
        <v>4</v>
      </c>
      <c r="I44" s="13">
        <v>2</v>
      </c>
      <c r="J44" s="33" t="s">
        <v>17</v>
      </c>
      <c r="K44" s="13">
        <v>5</v>
      </c>
      <c r="L44" s="13">
        <v>1</v>
      </c>
      <c r="M44" s="33" t="s">
        <v>17</v>
      </c>
    </row>
    <row r="45" spans="1:13" x14ac:dyDescent="0.35">
      <c r="A45" s="33" t="s">
        <v>70</v>
      </c>
      <c r="B45" s="13">
        <v>48</v>
      </c>
      <c r="C45" s="33" t="s">
        <v>14</v>
      </c>
      <c r="D45" s="33" t="s">
        <v>20</v>
      </c>
      <c r="E45" s="33" t="s">
        <v>21</v>
      </c>
      <c r="F45" s="13">
        <v>23</v>
      </c>
      <c r="G45" s="34">
        <v>93300</v>
      </c>
      <c r="H45" s="13">
        <v>3</v>
      </c>
      <c r="I45" s="13">
        <v>3</v>
      </c>
      <c r="J45" s="33" t="s">
        <v>17</v>
      </c>
      <c r="K45" s="13">
        <v>14</v>
      </c>
      <c r="L45" s="13">
        <v>20</v>
      </c>
      <c r="M45" s="33" t="s">
        <v>32</v>
      </c>
    </row>
    <row r="46" spans="1:13" x14ac:dyDescent="0.35">
      <c r="A46" s="33" t="s">
        <v>71</v>
      </c>
      <c r="B46" s="13">
        <v>26</v>
      </c>
      <c r="C46" s="33" t="s">
        <v>19</v>
      </c>
      <c r="D46" s="33" t="s">
        <v>27</v>
      </c>
      <c r="E46" s="33" t="s">
        <v>21</v>
      </c>
      <c r="F46" s="13">
        <v>0</v>
      </c>
      <c r="G46" s="34">
        <v>38600</v>
      </c>
      <c r="H46" s="13">
        <v>5</v>
      </c>
      <c r="I46" s="13">
        <v>5</v>
      </c>
      <c r="J46" s="33" t="s">
        <v>17</v>
      </c>
      <c r="K46" s="13">
        <v>5</v>
      </c>
      <c r="L46" s="13">
        <v>38</v>
      </c>
      <c r="M46" s="33" t="s">
        <v>17</v>
      </c>
    </row>
    <row r="47" spans="1:13" x14ac:dyDescent="0.35">
      <c r="A47" s="33" t="s">
        <v>72</v>
      </c>
      <c r="B47" s="13">
        <v>41</v>
      </c>
      <c r="C47" s="33" t="s">
        <v>14</v>
      </c>
      <c r="D47" s="33" t="s">
        <v>23</v>
      </c>
      <c r="E47" s="33" t="s">
        <v>21</v>
      </c>
      <c r="F47" s="13">
        <v>11</v>
      </c>
      <c r="G47" s="34">
        <v>69400</v>
      </c>
      <c r="H47" s="13">
        <v>4</v>
      </c>
      <c r="I47" s="13">
        <v>4</v>
      </c>
      <c r="J47" s="33" t="s">
        <v>32</v>
      </c>
      <c r="K47" s="13">
        <v>9</v>
      </c>
      <c r="L47" s="13">
        <v>12</v>
      </c>
      <c r="M47" s="33" t="s">
        <v>17</v>
      </c>
    </row>
    <row r="48" spans="1:13" x14ac:dyDescent="0.35">
      <c r="A48" s="33" t="s">
        <v>73</v>
      </c>
      <c r="B48" s="13">
        <v>32</v>
      </c>
      <c r="C48" s="33" t="s">
        <v>14</v>
      </c>
      <c r="D48" s="33" t="s">
        <v>15</v>
      </c>
      <c r="E48" s="33" t="s">
        <v>16</v>
      </c>
      <c r="F48" s="13">
        <v>5</v>
      </c>
      <c r="G48" s="34">
        <v>65800</v>
      </c>
      <c r="H48" s="13">
        <v>4</v>
      </c>
      <c r="I48" s="13">
        <v>4</v>
      </c>
      <c r="J48" s="33" t="s">
        <v>32</v>
      </c>
      <c r="K48" s="13">
        <v>11</v>
      </c>
      <c r="L48" s="13">
        <v>28</v>
      </c>
      <c r="M48" s="33" t="s">
        <v>17</v>
      </c>
    </row>
    <row r="49" spans="1:13" x14ac:dyDescent="0.35">
      <c r="A49" s="33" t="s">
        <v>74</v>
      </c>
      <c r="B49" s="13">
        <v>31</v>
      </c>
      <c r="C49" s="33" t="s">
        <v>14</v>
      </c>
      <c r="D49" s="33" t="s">
        <v>25</v>
      </c>
      <c r="E49" s="33" t="s">
        <v>31</v>
      </c>
      <c r="F49" s="13">
        <v>4</v>
      </c>
      <c r="G49" s="34">
        <v>60100</v>
      </c>
      <c r="H49" s="13">
        <v>2</v>
      </c>
      <c r="I49" s="13">
        <v>2</v>
      </c>
      <c r="J49" s="33" t="s">
        <v>17</v>
      </c>
      <c r="K49" s="13">
        <v>12</v>
      </c>
      <c r="L49" s="13">
        <v>27</v>
      </c>
      <c r="M49" s="33" t="s">
        <v>17</v>
      </c>
    </row>
    <row r="50" spans="1:13" x14ac:dyDescent="0.35">
      <c r="A50" s="33" t="s">
        <v>75</v>
      </c>
      <c r="B50" s="13">
        <v>59</v>
      </c>
      <c r="C50" s="33" t="s">
        <v>19</v>
      </c>
      <c r="D50" s="33" t="s">
        <v>25</v>
      </c>
      <c r="E50" s="33" t="s">
        <v>41</v>
      </c>
      <c r="F50" s="13">
        <v>32</v>
      </c>
      <c r="G50" s="34">
        <v>117800</v>
      </c>
      <c r="H50" s="13">
        <v>5</v>
      </c>
      <c r="I50" s="13">
        <v>4</v>
      </c>
      <c r="J50" s="33" t="s">
        <v>32</v>
      </c>
      <c r="K50" s="13">
        <v>5</v>
      </c>
      <c r="L50" s="13">
        <v>26</v>
      </c>
      <c r="M50" s="33" t="s">
        <v>17</v>
      </c>
    </row>
    <row r="51" spans="1:13" x14ac:dyDescent="0.35">
      <c r="A51" s="33" t="s">
        <v>76</v>
      </c>
      <c r="B51" s="13">
        <v>27</v>
      </c>
      <c r="C51" s="33" t="s">
        <v>14</v>
      </c>
      <c r="D51" s="33" t="s">
        <v>27</v>
      </c>
      <c r="E51" s="33" t="s">
        <v>41</v>
      </c>
      <c r="F51" s="13">
        <v>0</v>
      </c>
      <c r="G51" s="34">
        <v>55400</v>
      </c>
      <c r="H51" s="13">
        <v>5</v>
      </c>
      <c r="I51" s="13">
        <v>4</v>
      </c>
      <c r="J51" s="33" t="s">
        <v>32</v>
      </c>
      <c r="K51" s="13">
        <v>6</v>
      </c>
      <c r="L51" s="13">
        <v>29</v>
      </c>
      <c r="M51" s="33" t="s">
        <v>17</v>
      </c>
    </row>
    <row r="52" spans="1:13" x14ac:dyDescent="0.35">
      <c r="A52" s="33" t="s">
        <v>77</v>
      </c>
      <c r="B52" s="13">
        <v>29</v>
      </c>
      <c r="C52" s="33" t="s">
        <v>14</v>
      </c>
      <c r="D52" s="33" t="s">
        <v>20</v>
      </c>
      <c r="E52" s="33" t="s">
        <v>16</v>
      </c>
      <c r="F52" s="13">
        <v>8</v>
      </c>
      <c r="G52" s="34">
        <v>53400</v>
      </c>
      <c r="H52" s="13">
        <v>3</v>
      </c>
      <c r="I52" s="13">
        <v>4</v>
      </c>
      <c r="J52" s="33" t="s">
        <v>17</v>
      </c>
      <c r="K52" s="13">
        <v>11</v>
      </c>
      <c r="L52" s="13">
        <v>29</v>
      </c>
      <c r="M52" s="33" t="s">
        <v>32</v>
      </c>
    </row>
    <row r="53" spans="1:13" x14ac:dyDescent="0.35">
      <c r="A53" s="33" t="s">
        <v>78</v>
      </c>
      <c r="B53" s="13">
        <v>44</v>
      </c>
      <c r="C53" s="33" t="s">
        <v>19</v>
      </c>
      <c r="D53" s="33" t="s">
        <v>20</v>
      </c>
      <c r="E53" s="33" t="s">
        <v>21</v>
      </c>
      <c r="F53" s="13">
        <v>20</v>
      </c>
      <c r="G53" s="34">
        <v>76300</v>
      </c>
      <c r="H53" s="13">
        <v>4</v>
      </c>
      <c r="I53" s="13">
        <v>4</v>
      </c>
      <c r="J53" s="33" t="s">
        <v>32</v>
      </c>
      <c r="K53" s="13">
        <v>11</v>
      </c>
      <c r="L53" s="13">
        <v>17</v>
      </c>
      <c r="M53" s="33" t="s">
        <v>17</v>
      </c>
    </row>
    <row r="54" spans="1:13" x14ac:dyDescent="0.35">
      <c r="A54" s="33" t="s">
        <v>79</v>
      </c>
      <c r="B54" s="13">
        <v>47</v>
      </c>
      <c r="C54" s="33" t="s">
        <v>14</v>
      </c>
      <c r="D54" s="33" t="s">
        <v>20</v>
      </c>
      <c r="E54" s="33" t="s">
        <v>21</v>
      </c>
      <c r="F54" s="13">
        <v>21</v>
      </c>
      <c r="G54" s="34">
        <v>86500</v>
      </c>
      <c r="H54" s="13">
        <v>4</v>
      </c>
      <c r="I54" s="13">
        <v>3</v>
      </c>
      <c r="J54" s="33" t="s">
        <v>17</v>
      </c>
      <c r="K54" s="13">
        <v>10</v>
      </c>
      <c r="L54" s="13">
        <v>40</v>
      </c>
      <c r="M54" s="33" t="s">
        <v>17</v>
      </c>
    </row>
    <row r="55" spans="1:13" x14ac:dyDescent="0.35">
      <c r="A55" s="33" t="s">
        <v>80</v>
      </c>
      <c r="B55" s="13">
        <v>33</v>
      </c>
      <c r="C55" s="33" t="s">
        <v>14</v>
      </c>
      <c r="D55" s="33" t="s">
        <v>20</v>
      </c>
      <c r="E55" s="33" t="s">
        <v>16</v>
      </c>
      <c r="F55" s="13">
        <v>4</v>
      </c>
      <c r="G55" s="34">
        <v>59700</v>
      </c>
      <c r="H55" s="13">
        <v>2</v>
      </c>
      <c r="I55" s="13">
        <v>3</v>
      </c>
      <c r="J55" s="33" t="s">
        <v>17</v>
      </c>
      <c r="K55" s="13">
        <v>1</v>
      </c>
      <c r="L55" s="13">
        <v>37</v>
      </c>
      <c r="M55" s="33" t="s">
        <v>17</v>
      </c>
    </row>
    <row r="56" spans="1:13" x14ac:dyDescent="0.35">
      <c r="A56" s="33" t="s">
        <v>81</v>
      </c>
      <c r="B56" s="13">
        <v>47</v>
      </c>
      <c r="C56" s="33" t="s">
        <v>19</v>
      </c>
      <c r="D56" s="33" t="s">
        <v>25</v>
      </c>
      <c r="E56" s="33" t="s">
        <v>16</v>
      </c>
      <c r="F56" s="13">
        <v>25</v>
      </c>
      <c r="G56" s="34">
        <v>118800</v>
      </c>
      <c r="H56" s="13">
        <v>3</v>
      </c>
      <c r="I56" s="13">
        <v>4</v>
      </c>
      <c r="J56" s="33" t="s">
        <v>17</v>
      </c>
      <c r="K56" s="13">
        <v>12</v>
      </c>
      <c r="L56" s="13">
        <v>41</v>
      </c>
      <c r="M56" s="33" t="s">
        <v>17</v>
      </c>
    </row>
    <row r="57" spans="1:13" x14ac:dyDescent="0.35">
      <c r="A57" s="33" t="s">
        <v>82</v>
      </c>
      <c r="B57" s="13">
        <v>34</v>
      </c>
      <c r="C57" s="33" t="s">
        <v>14</v>
      </c>
      <c r="D57" s="33" t="s">
        <v>20</v>
      </c>
      <c r="E57" s="33" t="s">
        <v>21</v>
      </c>
      <c r="F57" s="13">
        <v>13</v>
      </c>
      <c r="G57" s="34">
        <v>63900</v>
      </c>
      <c r="H57" s="13">
        <v>3</v>
      </c>
      <c r="I57" s="13">
        <v>3</v>
      </c>
      <c r="J57" s="33" t="s">
        <v>17</v>
      </c>
      <c r="K57" s="13">
        <v>3</v>
      </c>
      <c r="L57" s="13">
        <v>34</v>
      </c>
      <c r="M57" s="33" t="s">
        <v>17</v>
      </c>
    </row>
    <row r="58" spans="1:13" x14ac:dyDescent="0.35">
      <c r="A58" s="33" t="s">
        <v>83</v>
      </c>
      <c r="B58" s="13">
        <v>39</v>
      </c>
      <c r="C58" s="33" t="s">
        <v>14</v>
      </c>
      <c r="D58" s="33" t="s">
        <v>30</v>
      </c>
      <c r="E58" s="33" t="s">
        <v>16</v>
      </c>
      <c r="F58" s="13">
        <v>9</v>
      </c>
      <c r="G58" s="34">
        <v>56300</v>
      </c>
      <c r="H58" s="13">
        <v>2</v>
      </c>
      <c r="I58" s="13">
        <v>3</v>
      </c>
      <c r="J58" s="33" t="s">
        <v>17</v>
      </c>
      <c r="K58" s="13">
        <v>7</v>
      </c>
      <c r="L58" s="13">
        <v>3</v>
      </c>
      <c r="M58" s="33" t="s">
        <v>17</v>
      </c>
    </row>
    <row r="59" spans="1:13" x14ac:dyDescent="0.35">
      <c r="A59" s="33" t="s">
        <v>84</v>
      </c>
      <c r="B59" s="13">
        <v>46</v>
      </c>
      <c r="C59" s="33" t="s">
        <v>14</v>
      </c>
      <c r="D59" s="33" t="s">
        <v>27</v>
      </c>
      <c r="E59" s="33" t="s">
        <v>16</v>
      </c>
      <c r="F59" s="13">
        <v>24</v>
      </c>
      <c r="G59" s="34">
        <v>105100</v>
      </c>
      <c r="H59" s="13">
        <v>3</v>
      </c>
      <c r="I59" s="13">
        <v>3</v>
      </c>
      <c r="J59" s="33" t="s">
        <v>17</v>
      </c>
      <c r="K59" s="13">
        <v>5</v>
      </c>
      <c r="L59" s="13">
        <v>33</v>
      </c>
      <c r="M59" s="33" t="s">
        <v>17</v>
      </c>
    </row>
    <row r="60" spans="1:13" x14ac:dyDescent="0.35">
      <c r="A60" s="33" t="s">
        <v>85</v>
      </c>
      <c r="B60" s="13">
        <v>54</v>
      </c>
      <c r="C60" s="33" t="s">
        <v>19</v>
      </c>
      <c r="D60" s="33" t="s">
        <v>30</v>
      </c>
      <c r="E60" s="33" t="s">
        <v>41</v>
      </c>
      <c r="F60" s="13">
        <v>27</v>
      </c>
      <c r="G60" s="34">
        <v>101500</v>
      </c>
      <c r="H60" s="13">
        <v>1</v>
      </c>
      <c r="I60" s="13">
        <v>3</v>
      </c>
      <c r="J60" s="33" t="s">
        <v>17</v>
      </c>
      <c r="K60" s="13">
        <v>2</v>
      </c>
      <c r="L60" s="13">
        <v>30</v>
      </c>
      <c r="M60" s="33" t="s">
        <v>17</v>
      </c>
    </row>
    <row r="61" spans="1:13" x14ac:dyDescent="0.35">
      <c r="A61" s="33" t="s">
        <v>86</v>
      </c>
      <c r="B61" s="13">
        <v>33</v>
      </c>
      <c r="C61" s="33" t="s">
        <v>19</v>
      </c>
      <c r="D61" s="33" t="s">
        <v>15</v>
      </c>
      <c r="E61" s="33" t="s">
        <v>16</v>
      </c>
      <c r="F61" s="13">
        <v>10</v>
      </c>
      <c r="G61" s="34">
        <v>77900</v>
      </c>
      <c r="H61" s="13">
        <v>1</v>
      </c>
      <c r="I61" s="13">
        <v>4</v>
      </c>
      <c r="J61" s="33" t="s">
        <v>17</v>
      </c>
      <c r="K61" s="13">
        <v>0</v>
      </c>
      <c r="L61" s="13">
        <v>9</v>
      </c>
      <c r="M61" s="33" t="s">
        <v>17</v>
      </c>
    </row>
    <row r="62" spans="1:13" x14ac:dyDescent="0.35">
      <c r="A62" s="33" t="s">
        <v>87</v>
      </c>
      <c r="B62" s="13">
        <v>57</v>
      </c>
      <c r="C62" s="33" t="s">
        <v>19</v>
      </c>
      <c r="D62" s="33" t="s">
        <v>15</v>
      </c>
      <c r="E62" s="33" t="s">
        <v>16</v>
      </c>
      <c r="F62" s="13">
        <v>27</v>
      </c>
      <c r="G62" s="34">
        <v>107900</v>
      </c>
      <c r="H62" s="13">
        <v>2</v>
      </c>
      <c r="I62" s="13">
        <v>3</v>
      </c>
      <c r="J62" s="33" t="s">
        <v>17</v>
      </c>
      <c r="K62" s="13">
        <v>0</v>
      </c>
      <c r="L62" s="13">
        <v>19</v>
      </c>
      <c r="M62" s="33" t="s">
        <v>17</v>
      </c>
    </row>
    <row r="63" spans="1:13" x14ac:dyDescent="0.35">
      <c r="A63" s="33" t="s">
        <v>88</v>
      </c>
      <c r="B63" s="13">
        <v>25</v>
      </c>
      <c r="C63" s="33" t="s">
        <v>14</v>
      </c>
      <c r="D63" s="33" t="s">
        <v>15</v>
      </c>
      <c r="E63" s="33" t="s">
        <v>21</v>
      </c>
      <c r="F63" s="13">
        <v>3</v>
      </c>
      <c r="G63" s="34">
        <v>53100</v>
      </c>
      <c r="H63" s="13">
        <v>5</v>
      </c>
      <c r="I63" s="13">
        <v>4</v>
      </c>
      <c r="J63" s="33" t="s">
        <v>17</v>
      </c>
      <c r="K63" s="13">
        <v>6</v>
      </c>
      <c r="L63" s="13">
        <v>30</v>
      </c>
      <c r="M63" s="33" t="s">
        <v>17</v>
      </c>
    </row>
    <row r="64" spans="1:13" x14ac:dyDescent="0.35">
      <c r="A64" s="33" t="s">
        <v>89</v>
      </c>
      <c r="B64" s="13">
        <v>26</v>
      </c>
      <c r="C64" s="33" t="s">
        <v>14</v>
      </c>
      <c r="D64" s="33" t="s">
        <v>20</v>
      </c>
      <c r="E64" s="33" t="s">
        <v>16</v>
      </c>
      <c r="F64" s="13">
        <v>0</v>
      </c>
      <c r="G64" s="34">
        <v>50600</v>
      </c>
      <c r="H64" s="13">
        <v>4</v>
      </c>
      <c r="I64" s="13">
        <v>4</v>
      </c>
      <c r="J64" s="33" t="s">
        <v>17</v>
      </c>
      <c r="K64" s="13">
        <v>0</v>
      </c>
      <c r="L64" s="13">
        <v>47</v>
      </c>
      <c r="M64" s="33" t="s">
        <v>17</v>
      </c>
    </row>
    <row r="65" spans="1:13" x14ac:dyDescent="0.35">
      <c r="A65" s="33" t="s">
        <v>90</v>
      </c>
      <c r="B65" s="13">
        <v>58</v>
      </c>
      <c r="C65" s="33" t="s">
        <v>19</v>
      </c>
      <c r="D65" s="33" t="s">
        <v>15</v>
      </c>
      <c r="E65" s="33" t="s">
        <v>16</v>
      </c>
      <c r="F65" s="13">
        <v>36</v>
      </c>
      <c r="G65" s="34">
        <v>130400</v>
      </c>
      <c r="H65" s="13">
        <v>5</v>
      </c>
      <c r="I65" s="13">
        <v>3</v>
      </c>
      <c r="J65" s="33" t="s">
        <v>17</v>
      </c>
      <c r="K65" s="13">
        <v>1</v>
      </c>
      <c r="L65" s="13">
        <v>31</v>
      </c>
      <c r="M65" s="33" t="s">
        <v>17</v>
      </c>
    </row>
    <row r="66" spans="1:13" x14ac:dyDescent="0.35">
      <c r="A66" s="33" t="s">
        <v>91</v>
      </c>
      <c r="B66" s="13">
        <v>29</v>
      </c>
      <c r="C66" s="33" t="s">
        <v>14</v>
      </c>
      <c r="D66" s="33" t="s">
        <v>15</v>
      </c>
      <c r="E66" s="33" t="s">
        <v>31</v>
      </c>
      <c r="F66" s="13">
        <v>6</v>
      </c>
      <c r="G66" s="34">
        <v>64700</v>
      </c>
      <c r="H66" s="13">
        <v>3</v>
      </c>
      <c r="I66" s="13">
        <v>2</v>
      </c>
      <c r="J66" s="33" t="s">
        <v>32</v>
      </c>
      <c r="K66" s="13">
        <v>7</v>
      </c>
      <c r="L66" s="13">
        <v>12</v>
      </c>
      <c r="M66" s="33" t="s">
        <v>17</v>
      </c>
    </row>
    <row r="67" spans="1:13" x14ac:dyDescent="0.35">
      <c r="A67" s="33" t="s">
        <v>92</v>
      </c>
      <c r="B67" s="13">
        <v>49</v>
      </c>
      <c r="C67" s="33" t="s">
        <v>14</v>
      </c>
      <c r="D67" s="33" t="s">
        <v>25</v>
      </c>
      <c r="E67" s="33" t="s">
        <v>31</v>
      </c>
      <c r="F67" s="13">
        <v>22</v>
      </c>
      <c r="G67" s="34">
        <v>90500</v>
      </c>
      <c r="H67" s="13">
        <v>3</v>
      </c>
      <c r="I67" s="13">
        <v>3</v>
      </c>
      <c r="J67" s="33" t="s">
        <v>32</v>
      </c>
      <c r="K67" s="13">
        <v>0</v>
      </c>
      <c r="L67" s="13">
        <v>42</v>
      </c>
      <c r="M67" s="33" t="s">
        <v>17</v>
      </c>
    </row>
    <row r="68" spans="1:13" x14ac:dyDescent="0.35">
      <c r="A68" s="33" t="s">
        <v>93</v>
      </c>
      <c r="B68" s="13">
        <v>52</v>
      </c>
      <c r="C68" s="33" t="s">
        <v>19</v>
      </c>
      <c r="D68" s="33" t="s">
        <v>27</v>
      </c>
      <c r="E68" s="33" t="s">
        <v>21</v>
      </c>
      <c r="F68" s="13">
        <v>28</v>
      </c>
      <c r="G68" s="34">
        <v>88500</v>
      </c>
      <c r="H68" s="13">
        <v>3</v>
      </c>
      <c r="I68" s="13">
        <v>4</v>
      </c>
      <c r="J68" s="33" t="s">
        <v>32</v>
      </c>
      <c r="K68" s="13">
        <v>11</v>
      </c>
      <c r="L68" s="13">
        <v>28</v>
      </c>
      <c r="M68" s="33" t="s">
        <v>17</v>
      </c>
    </row>
    <row r="69" spans="1:13" x14ac:dyDescent="0.35">
      <c r="A69" s="33" t="s">
        <v>94</v>
      </c>
      <c r="B69" s="13">
        <v>30</v>
      </c>
      <c r="C69" s="33" t="s">
        <v>19</v>
      </c>
      <c r="D69" s="33" t="s">
        <v>20</v>
      </c>
      <c r="E69" s="33" t="s">
        <v>16</v>
      </c>
      <c r="F69" s="13">
        <v>9</v>
      </c>
      <c r="G69" s="34">
        <v>56500</v>
      </c>
      <c r="H69" s="13">
        <v>3</v>
      </c>
      <c r="I69" s="13">
        <v>4</v>
      </c>
      <c r="J69" s="33" t="s">
        <v>32</v>
      </c>
      <c r="K69" s="13">
        <v>0</v>
      </c>
      <c r="L69" s="13">
        <v>24</v>
      </c>
      <c r="M69" s="33" t="s">
        <v>17</v>
      </c>
    </row>
    <row r="70" spans="1:13" x14ac:dyDescent="0.35">
      <c r="A70" s="33" t="s">
        <v>95</v>
      </c>
      <c r="B70" s="13">
        <v>50</v>
      </c>
      <c r="C70" s="33" t="s">
        <v>14</v>
      </c>
      <c r="D70" s="33" t="s">
        <v>30</v>
      </c>
      <c r="E70" s="33" t="s">
        <v>41</v>
      </c>
      <c r="F70" s="13">
        <v>25</v>
      </c>
      <c r="G70" s="34">
        <v>94100</v>
      </c>
      <c r="H70" s="13">
        <v>2</v>
      </c>
      <c r="I70" s="13">
        <v>4</v>
      </c>
      <c r="J70" s="33" t="s">
        <v>17</v>
      </c>
      <c r="K70" s="13">
        <v>6</v>
      </c>
      <c r="L70" s="13">
        <v>23</v>
      </c>
      <c r="M70" s="33" t="s">
        <v>17</v>
      </c>
    </row>
    <row r="71" spans="1:13" x14ac:dyDescent="0.35">
      <c r="A71" s="33" t="s">
        <v>96</v>
      </c>
      <c r="B71" s="13">
        <v>35</v>
      </c>
      <c r="C71" s="33" t="s">
        <v>14</v>
      </c>
      <c r="D71" s="33" t="s">
        <v>20</v>
      </c>
      <c r="E71" s="33" t="s">
        <v>21</v>
      </c>
      <c r="F71" s="13">
        <v>6</v>
      </c>
      <c r="G71" s="34">
        <v>63200</v>
      </c>
      <c r="H71" s="13">
        <v>4</v>
      </c>
      <c r="I71" s="13">
        <v>4</v>
      </c>
      <c r="J71" s="33" t="s">
        <v>32</v>
      </c>
      <c r="K71" s="13">
        <v>8</v>
      </c>
      <c r="L71" s="13">
        <v>8</v>
      </c>
      <c r="M71" s="33" t="s">
        <v>17</v>
      </c>
    </row>
    <row r="72" spans="1:13" x14ac:dyDescent="0.35">
      <c r="A72" s="33" t="s">
        <v>97</v>
      </c>
      <c r="B72" s="13">
        <v>43</v>
      </c>
      <c r="C72" s="33" t="s">
        <v>14</v>
      </c>
      <c r="D72" s="33" t="s">
        <v>20</v>
      </c>
      <c r="E72" s="33" t="s">
        <v>16</v>
      </c>
      <c r="F72" s="13">
        <v>15</v>
      </c>
      <c r="G72" s="34">
        <v>75300</v>
      </c>
      <c r="H72" s="13">
        <v>2</v>
      </c>
      <c r="I72" s="13">
        <v>3</v>
      </c>
      <c r="J72" s="33" t="s">
        <v>17</v>
      </c>
      <c r="K72" s="13">
        <v>8</v>
      </c>
      <c r="L72" s="13">
        <v>21</v>
      </c>
      <c r="M72" s="33" t="s">
        <v>17</v>
      </c>
    </row>
    <row r="73" spans="1:13" x14ac:dyDescent="0.35">
      <c r="A73" s="33" t="s">
        <v>98</v>
      </c>
      <c r="B73" s="13">
        <v>32</v>
      </c>
      <c r="C73" s="33" t="s">
        <v>19</v>
      </c>
      <c r="D73" s="33" t="s">
        <v>27</v>
      </c>
      <c r="E73" s="33" t="s">
        <v>21</v>
      </c>
      <c r="F73" s="13">
        <v>3</v>
      </c>
      <c r="G73" s="34">
        <v>59100</v>
      </c>
      <c r="H73" s="13">
        <v>4</v>
      </c>
      <c r="I73" s="13">
        <v>3</v>
      </c>
      <c r="J73" s="33" t="s">
        <v>17</v>
      </c>
      <c r="K73" s="13">
        <v>6</v>
      </c>
      <c r="L73" s="13">
        <v>28</v>
      </c>
      <c r="M73" s="33" t="s">
        <v>17</v>
      </c>
    </row>
    <row r="74" spans="1:13" x14ac:dyDescent="0.35">
      <c r="A74" s="33" t="s">
        <v>99</v>
      </c>
      <c r="B74" s="13">
        <v>44</v>
      </c>
      <c r="C74" s="33" t="s">
        <v>19</v>
      </c>
      <c r="D74" s="33" t="s">
        <v>30</v>
      </c>
      <c r="E74" s="33" t="s">
        <v>41</v>
      </c>
      <c r="F74" s="13">
        <v>14</v>
      </c>
      <c r="G74" s="34">
        <v>69400</v>
      </c>
      <c r="H74" s="13">
        <v>4</v>
      </c>
      <c r="I74" s="13">
        <v>4</v>
      </c>
      <c r="J74" s="33" t="s">
        <v>32</v>
      </c>
      <c r="K74" s="13">
        <v>16</v>
      </c>
      <c r="L74" s="13">
        <v>22</v>
      </c>
      <c r="M74" s="33" t="s">
        <v>17</v>
      </c>
    </row>
    <row r="75" spans="1:13" x14ac:dyDescent="0.35">
      <c r="A75" s="33" t="s">
        <v>100</v>
      </c>
      <c r="B75" s="13">
        <v>22</v>
      </c>
      <c r="C75" s="33" t="s">
        <v>19</v>
      </c>
      <c r="D75" s="33" t="s">
        <v>20</v>
      </c>
      <c r="E75" s="33" t="s">
        <v>16</v>
      </c>
      <c r="F75" s="13">
        <v>0</v>
      </c>
      <c r="G75" s="34">
        <v>39000</v>
      </c>
      <c r="H75" s="13">
        <v>2</v>
      </c>
      <c r="I75" s="13">
        <v>3</v>
      </c>
      <c r="J75" s="33" t="s">
        <v>17</v>
      </c>
      <c r="K75" s="13">
        <v>7</v>
      </c>
      <c r="L75" s="13">
        <v>27</v>
      </c>
      <c r="M75" s="33" t="s">
        <v>17</v>
      </c>
    </row>
    <row r="76" spans="1:13" x14ac:dyDescent="0.35">
      <c r="A76" s="33" t="s">
        <v>101</v>
      </c>
      <c r="B76" s="13">
        <v>58</v>
      </c>
      <c r="C76" s="33" t="s">
        <v>19</v>
      </c>
      <c r="D76" s="33" t="s">
        <v>23</v>
      </c>
      <c r="E76" s="33" t="s">
        <v>16</v>
      </c>
      <c r="F76" s="13">
        <v>31</v>
      </c>
      <c r="G76" s="34">
        <v>116800</v>
      </c>
      <c r="H76" s="13">
        <v>1</v>
      </c>
      <c r="I76" s="13">
        <v>2</v>
      </c>
      <c r="J76" s="33" t="s">
        <v>32</v>
      </c>
      <c r="K76" s="13">
        <v>12</v>
      </c>
      <c r="L76" s="13">
        <v>12</v>
      </c>
      <c r="M76" s="33" t="s">
        <v>17</v>
      </c>
    </row>
    <row r="77" spans="1:13" x14ac:dyDescent="0.35">
      <c r="A77" s="33" t="s">
        <v>102</v>
      </c>
      <c r="B77" s="13">
        <v>42</v>
      </c>
      <c r="C77" s="33" t="s">
        <v>14</v>
      </c>
      <c r="D77" s="33" t="s">
        <v>23</v>
      </c>
      <c r="E77" s="33" t="s">
        <v>21</v>
      </c>
      <c r="F77" s="13">
        <v>18</v>
      </c>
      <c r="G77" s="34">
        <v>76900</v>
      </c>
      <c r="H77" s="13">
        <v>4</v>
      </c>
      <c r="I77" s="13">
        <v>4</v>
      </c>
      <c r="J77" s="33" t="s">
        <v>32</v>
      </c>
      <c r="K77" s="13">
        <v>5</v>
      </c>
      <c r="L77" s="13">
        <v>25</v>
      </c>
      <c r="M77" s="33" t="s">
        <v>17</v>
      </c>
    </row>
    <row r="78" spans="1:13" x14ac:dyDescent="0.35">
      <c r="A78" s="33" t="s">
        <v>103</v>
      </c>
      <c r="B78" s="13">
        <v>47</v>
      </c>
      <c r="C78" s="33" t="s">
        <v>19</v>
      </c>
      <c r="D78" s="33" t="s">
        <v>20</v>
      </c>
      <c r="E78" s="33" t="s">
        <v>21</v>
      </c>
      <c r="F78" s="13">
        <v>22</v>
      </c>
      <c r="G78" s="34">
        <v>88100</v>
      </c>
      <c r="H78" s="13">
        <v>3</v>
      </c>
      <c r="I78" s="13">
        <v>3</v>
      </c>
      <c r="J78" s="33" t="s">
        <v>32</v>
      </c>
      <c r="K78" s="13">
        <v>8</v>
      </c>
      <c r="L78" s="13">
        <v>26</v>
      </c>
      <c r="M78" s="33" t="s">
        <v>17</v>
      </c>
    </row>
    <row r="79" spans="1:13" x14ac:dyDescent="0.35">
      <c r="A79" s="33" t="s">
        <v>104</v>
      </c>
      <c r="B79" s="13">
        <v>57</v>
      </c>
      <c r="C79" s="33" t="s">
        <v>19</v>
      </c>
      <c r="D79" s="33" t="s">
        <v>30</v>
      </c>
      <c r="E79" s="33" t="s">
        <v>21</v>
      </c>
      <c r="F79" s="13">
        <v>36</v>
      </c>
      <c r="G79" s="34">
        <v>106400</v>
      </c>
      <c r="H79" s="13">
        <v>1</v>
      </c>
      <c r="I79" s="13">
        <v>4</v>
      </c>
      <c r="J79" s="33" t="s">
        <v>32</v>
      </c>
      <c r="K79" s="13">
        <v>14</v>
      </c>
      <c r="L79" s="13">
        <v>29</v>
      </c>
      <c r="M79" s="33" t="s">
        <v>17</v>
      </c>
    </row>
    <row r="80" spans="1:13" x14ac:dyDescent="0.35">
      <c r="A80" s="33" t="s">
        <v>105</v>
      </c>
      <c r="B80" s="13">
        <v>44</v>
      </c>
      <c r="C80" s="33" t="s">
        <v>19</v>
      </c>
      <c r="D80" s="33" t="s">
        <v>15</v>
      </c>
      <c r="E80" s="33" t="s">
        <v>31</v>
      </c>
      <c r="F80" s="13">
        <v>23</v>
      </c>
      <c r="G80" s="34">
        <v>105200</v>
      </c>
      <c r="H80" s="13">
        <v>5</v>
      </c>
      <c r="I80" s="13">
        <v>4</v>
      </c>
      <c r="J80" s="33" t="s">
        <v>17</v>
      </c>
      <c r="K80" s="13">
        <v>5</v>
      </c>
      <c r="L80" s="13">
        <v>8</v>
      </c>
      <c r="M80" s="33" t="s">
        <v>17</v>
      </c>
    </row>
    <row r="81" spans="1:13" x14ac:dyDescent="0.35">
      <c r="A81" s="33" t="s">
        <v>106</v>
      </c>
      <c r="B81" s="13">
        <v>22</v>
      </c>
      <c r="C81" s="33" t="s">
        <v>19</v>
      </c>
      <c r="D81" s="33" t="s">
        <v>30</v>
      </c>
      <c r="E81" s="33" t="s">
        <v>16</v>
      </c>
      <c r="F81" s="13">
        <v>0</v>
      </c>
      <c r="G81" s="34">
        <v>48400</v>
      </c>
      <c r="H81" s="13">
        <v>1</v>
      </c>
      <c r="I81" s="13">
        <v>3</v>
      </c>
      <c r="J81" s="33" t="s">
        <v>17</v>
      </c>
      <c r="K81" s="13">
        <v>7</v>
      </c>
      <c r="L81" s="13">
        <v>17</v>
      </c>
      <c r="M81" s="33" t="s">
        <v>17</v>
      </c>
    </row>
    <row r="82" spans="1:13" x14ac:dyDescent="0.35">
      <c r="A82" s="33" t="s">
        <v>107</v>
      </c>
      <c r="B82" s="13">
        <v>36</v>
      </c>
      <c r="C82" s="33" t="s">
        <v>19</v>
      </c>
      <c r="D82" s="33" t="s">
        <v>20</v>
      </c>
      <c r="E82" s="33" t="s">
        <v>16</v>
      </c>
      <c r="F82" s="13">
        <v>8</v>
      </c>
      <c r="G82" s="34">
        <v>63400</v>
      </c>
      <c r="H82" s="13">
        <v>4</v>
      </c>
      <c r="I82" s="13">
        <v>3</v>
      </c>
      <c r="J82" s="33" t="s">
        <v>17</v>
      </c>
      <c r="K82" s="13">
        <v>10</v>
      </c>
      <c r="L82" s="13">
        <v>42</v>
      </c>
      <c r="M82" s="33" t="s">
        <v>32</v>
      </c>
    </row>
    <row r="83" spans="1:13" x14ac:dyDescent="0.35">
      <c r="A83" s="33" t="s">
        <v>108</v>
      </c>
      <c r="B83" s="13">
        <v>42</v>
      </c>
      <c r="C83" s="33" t="s">
        <v>14</v>
      </c>
      <c r="D83" s="33" t="s">
        <v>25</v>
      </c>
      <c r="E83" s="33" t="s">
        <v>41</v>
      </c>
      <c r="F83" s="13">
        <v>20</v>
      </c>
      <c r="G83" s="34">
        <v>89200</v>
      </c>
      <c r="H83" s="13">
        <v>5</v>
      </c>
      <c r="I83" s="13">
        <v>4</v>
      </c>
      <c r="J83" s="33" t="s">
        <v>17</v>
      </c>
      <c r="K83" s="13">
        <v>3</v>
      </c>
      <c r="L83" s="13">
        <v>21</v>
      </c>
      <c r="M83" s="33" t="s">
        <v>17</v>
      </c>
    </row>
    <row r="84" spans="1:13" x14ac:dyDescent="0.35">
      <c r="A84" s="33" t="s">
        <v>109</v>
      </c>
      <c r="B84" s="13">
        <v>30</v>
      </c>
      <c r="C84" s="33" t="s">
        <v>14</v>
      </c>
      <c r="D84" s="33" t="s">
        <v>15</v>
      </c>
      <c r="E84" s="33" t="s">
        <v>41</v>
      </c>
      <c r="F84" s="13">
        <v>6</v>
      </c>
      <c r="G84" s="34">
        <v>74500</v>
      </c>
      <c r="H84" s="13">
        <v>2</v>
      </c>
      <c r="I84" s="13">
        <v>3</v>
      </c>
      <c r="J84" s="33" t="s">
        <v>17</v>
      </c>
      <c r="K84" s="13">
        <v>0</v>
      </c>
      <c r="L84" s="13">
        <v>22</v>
      </c>
      <c r="M84" s="33" t="s">
        <v>17</v>
      </c>
    </row>
    <row r="85" spans="1:13" x14ac:dyDescent="0.35">
      <c r="A85" s="33" t="s">
        <v>110</v>
      </c>
      <c r="B85" s="13">
        <v>30</v>
      </c>
      <c r="C85" s="33" t="s">
        <v>19</v>
      </c>
      <c r="D85" s="33" t="s">
        <v>30</v>
      </c>
      <c r="E85" s="33" t="s">
        <v>21</v>
      </c>
      <c r="F85" s="13">
        <v>8</v>
      </c>
      <c r="G85" s="34">
        <v>51600</v>
      </c>
      <c r="H85" s="13">
        <v>2</v>
      </c>
      <c r="I85" s="13">
        <v>3</v>
      </c>
      <c r="J85" s="33" t="s">
        <v>32</v>
      </c>
      <c r="K85" s="13">
        <v>9</v>
      </c>
      <c r="L85" s="13">
        <v>21</v>
      </c>
      <c r="M85" s="33" t="s">
        <v>17</v>
      </c>
    </row>
    <row r="86" spans="1:13" x14ac:dyDescent="0.35">
      <c r="A86" s="33" t="s">
        <v>111</v>
      </c>
      <c r="B86" s="13">
        <v>31</v>
      </c>
      <c r="C86" s="33" t="s">
        <v>14</v>
      </c>
      <c r="D86" s="33" t="s">
        <v>15</v>
      </c>
      <c r="E86" s="33" t="s">
        <v>16</v>
      </c>
      <c r="F86" s="13">
        <v>6</v>
      </c>
      <c r="G86" s="34">
        <v>53600</v>
      </c>
      <c r="H86" s="13">
        <v>2</v>
      </c>
      <c r="I86" s="13">
        <v>4</v>
      </c>
      <c r="J86" s="33" t="s">
        <v>32</v>
      </c>
      <c r="K86" s="13">
        <v>11</v>
      </c>
      <c r="L86" s="13">
        <v>46</v>
      </c>
      <c r="M86" s="33" t="s">
        <v>17</v>
      </c>
    </row>
    <row r="87" spans="1:13" x14ac:dyDescent="0.35">
      <c r="A87" s="33" t="s">
        <v>112</v>
      </c>
      <c r="B87" s="13">
        <v>47</v>
      </c>
      <c r="C87" s="33" t="s">
        <v>19</v>
      </c>
      <c r="D87" s="33" t="s">
        <v>15</v>
      </c>
      <c r="E87" s="33" t="s">
        <v>41</v>
      </c>
      <c r="F87" s="13">
        <v>18</v>
      </c>
      <c r="G87" s="34">
        <v>98200</v>
      </c>
      <c r="H87" s="13">
        <v>3</v>
      </c>
      <c r="I87" s="13">
        <v>3</v>
      </c>
      <c r="J87" s="33" t="s">
        <v>17</v>
      </c>
      <c r="K87" s="13">
        <v>1</v>
      </c>
      <c r="L87" s="13">
        <v>37</v>
      </c>
      <c r="M87" s="33" t="s">
        <v>17</v>
      </c>
    </row>
    <row r="88" spans="1:13" x14ac:dyDescent="0.35">
      <c r="A88" s="33" t="s">
        <v>113</v>
      </c>
      <c r="B88" s="13">
        <v>56</v>
      </c>
      <c r="C88" s="33" t="s">
        <v>19</v>
      </c>
      <c r="D88" s="33" t="s">
        <v>23</v>
      </c>
      <c r="E88" s="33" t="s">
        <v>16</v>
      </c>
      <c r="F88" s="13">
        <v>35</v>
      </c>
      <c r="G88" s="34">
        <v>118900</v>
      </c>
      <c r="H88" s="13">
        <v>2</v>
      </c>
      <c r="I88" s="13">
        <v>4</v>
      </c>
      <c r="J88" s="33" t="s">
        <v>17</v>
      </c>
      <c r="K88" s="13">
        <v>9</v>
      </c>
      <c r="L88" s="13">
        <v>37</v>
      </c>
      <c r="M88" s="33" t="s">
        <v>17</v>
      </c>
    </row>
    <row r="89" spans="1:13" x14ac:dyDescent="0.35">
      <c r="A89" s="33" t="s">
        <v>114</v>
      </c>
      <c r="B89" s="13">
        <v>46</v>
      </c>
      <c r="C89" s="33" t="s">
        <v>14</v>
      </c>
      <c r="D89" s="33" t="s">
        <v>25</v>
      </c>
      <c r="E89" s="33" t="s">
        <v>21</v>
      </c>
      <c r="F89" s="13">
        <v>21</v>
      </c>
      <c r="G89" s="34">
        <v>89600</v>
      </c>
      <c r="H89" s="13">
        <v>4</v>
      </c>
      <c r="I89" s="13">
        <v>5</v>
      </c>
      <c r="J89" s="33" t="s">
        <v>17</v>
      </c>
      <c r="K89" s="13">
        <v>9</v>
      </c>
      <c r="L89" s="13">
        <v>15</v>
      </c>
      <c r="M89" s="33" t="s">
        <v>17</v>
      </c>
    </row>
    <row r="90" spans="1:13" x14ac:dyDescent="0.35">
      <c r="A90" s="33" t="s">
        <v>115</v>
      </c>
      <c r="B90" s="13">
        <v>47</v>
      </c>
      <c r="C90" s="33" t="s">
        <v>14</v>
      </c>
      <c r="D90" s="33" t="s">
        <v>20</v>
      </c>
      <c r="E90" s="33" t="s">
        <v>21</v>
      </c>
      <c r="F90" s="13">
        <v>18</v>
      </c>
      <c r="G90" s="34">
        <v>60000</v>
      </c>
      <c r="H90" s="13">
        <v>1</v>
      </c>
      <c r="I90" s="13">
        <v>3</v>
      </c>
      <c r="J90" s="33" t="s">
        <v>17</v>
      </c>
      <c r="K90" s="13">
        <v>0</v>
      </c>
      <c r="L90" s="13">
        <v>26</v>
      </c>
      <c r="M90" s="33" t="s">
        <v>17</v>
      </c>
    </row>
    <row r="91" spans="1:13" x14ac:dyDescent="0.35">
      <c r="A91" s="33" t="s">
        <v>116</v>
      </c>
      <c r="B91" s="13">
        <v>32</v>
      </c>
      <c r="C91" s="33" t="s">
        <v>19</v>
      </c>
      <c r="D91" s="33" t="s">
        <v>25</v>
      </c>
      <c r="E91" s="33" t="s">
        <v>21</v>
      </c>
      <c r="F91" s="13">
        <v>11</v>
      </c>
      <c r="G91" s="34">
        <v>61800</v>
      </c>
      <c r="H91" s="13">
        <v>3</v>
      </c>
      <c r="I91" s="13">
        <v>4</v>
      </c>
      <c r="J91" s="33" t="s">
        <v>32</v>
      </c>
      <c r="K91" s="13">
        <v>4</v>
      </c>
      <c r="L91" s="13">
        <v>34</v>
      </c>
      <c r="M91" s="33" t="s">
        <v>17</v>
      </c>
    </row>
    <row r="92" spans="1:13" x14ac:dyDescent="0.35">
      <c r="A92" s="33" t="s">
        <v>117</v>
      </c>
      <c r="B92" s="13">
        <v>59</v>
      </c>
      <c r="C92" s="33" t="s">
        <v>19</v>
      </c>
      <c r="D92" s="33" t="s">
        <v>30</v>
      </c>
      <c r="E92" s="33" t="s">
        <v>41</v>
      </c>
      <c r="F92" s="13">
        <v>30</v>
      </c>
      <c r="G92" s="34">
        <v>107900</v>
      </c>
      <c r="H92" s="13">
        <v>5</v>
      </c>
      <c r="I92" s="13">
        <v>4</v>
      </c>
      <c r="J92" s="33" t="s">
        <v>17</v>
      </c>
      <c r="K92" s="13">
        <v>4</v>
      </c>
      <c r="L92" s="13">
        <v>19</v>
      </c>
      <c r="M92" s="33" t="s">
        <v>17</v>
      </c>
    </row>
    <row r="93" spans="1:13" x14ac:dyDescent="0.35">
      <c r="A93" s="33" t="s">
        <v>118</v>
      </c>
      <c r="B93" s="13">
        <v>23</v>
      </c>
      <c r="C93" s="33" t="s">
        <v>19</v>
      </c>
      <c r="D93" s="33" t="s">
        <v>23</v>
      </c>
      <c r="E93" s="33" t="s">
        <v>16</v>
      </c>
      <c r="F93" s="13">
        <v>0</v>
      </c>
      <c r="G93" s="34">
        <v>45200</v>
      </c>
      <c r="H93" s="13">
        <v>4</v>
      </c>
      <c r="I93" s="13">
        <v>5</v>
      </c>
      <c r="J93" s="33" t="s">
        <v>17</v>
      </c>
      <c r="K93" s="13">
        <v>5</v>
      </c>
      <c r="L93" s="13">
        <v>17</v>
      </c>
      <c r="M93" s="33" t="s">
        <v>17</v>
      </c>
    </row>
    <row r="94" spans="1:13" x14ac:dyDescent="0.35">
      <c r="A94" s="33" t="s">
        <v>119</v>
      </c>
      <c r="B94" s="13">
        <v>28</v>
      </c>
      <c r="C94" s="33" t="s">
        <v>14</v>
      </c>
      <c r="D94" s="33" t="s">
        <v>20</v>
      </c>
      <c r="E94" s="33" t="s">
        <v>21</v>
      </c>
      <c r="F94" s="13">
        <v>4</v>
      </c>
      <c r="G94" s="34">
        <v>47400</v>
      </c>
      <c r="H94" s="13">
        <v>4</v>
      </c>
      <c r="I94" s="13">
        <v>4</v>
      </c>
      <c r="J94" s="33" t="s">
        <v>17</v>
      </c>
      <c r="K94" s="13">
        <v>3</v>
      </c>
      <c r="L94" s="13">
        <v>47</v>
      </c>
      <c r="M94" s="33" t="s">
        <v>17</v>
      </c>
    </row>
    <row r="95" spans="1:13" x14ac:dyDescent="0.35">
      <c r="A95" s="33" t="s">
        <v>120</v>
      </c>
      <c r="B95" s="13">
        <v>39</v>
      </c>
      <c r="C95" s="33" t="s">
        <v>19</v>
      </c>
      <c r="D95" s="33" t="s">
        <v>25</v>
      </c>
      <c r="E95" s="33" t="s">
        <v>16</v>
      </c>
      <c r="F95" s="13">
        <v>9</v>
      </c>
      <c r="G95" s="34">
        <v>62200</v>
      </c>
      <c r="H95" s="13">
        <v>3</v>
      </c>
      <c r="I95" s="13">
        <v>3</v>
      </c>
      <c r="J95" s="33" t="s">
        <v>32</v>
      </c>
      <c r="K95" s="13">
        <v>4</v>
      </c>
      <c r="L95" s="13">
        <v>18</v>
      </c>
      <c r="M95" s="33" t="s">
        <v>17</v>
      </c>
    </row>
    <row r="96" spans="1:13" x14ac:dyDescent="0.35">
      <c r="A96" s="33" t="s">
        <v>121</v>
      </c>
      <c r="B96" s="13">
        <v>48</v>
      </c>
      <c r="C96" s="33" t="s">
        <v>19</v>
      </c>
      <c r="D96" s="33" t="s">
        <v>20</v>
      </c>
      <c r="E96" s="33" t="s">
        <v>16</v>
      </c>
      <c r="F96" s="13">
        <v>23</v>
      </c>
      <c r="G96" s="34">
        <v>99300</v>
      </c>
      <c r="H96" s="13">
        <v>4</v>
      </c>
      <c r="I96" s="13">
        <v>3</v>
      </c>
      <c r="J96" s="33" t="s">
        <v>32</v>
      </c>
      <c r="K96" s="13">
        <v>14</v>
      </c>
      <c r="L96" s="13">
        <v>41</v>
      </c>
      <c r="M96" s="33" t="s">
        <v>17</v>
      </c>
    </row>
    <row r="97" spans="1:13" x14ac:dyDescent="0.35">
      <c r="A97" s="33" t="s">
        <v>122</v>
      </c>
      <c r="B97" s="13">
        <v>55</v>
      </c>
      <c r="C97" s="33" t="s">
        <v>19</v>
      </c>
      <c r="D97" s="33" t="s">
        <v>25</v>
      </c>
      <c r="E97" s="33" t="s">
        <v>21</v>
      </c>
      <c r="F97" s="13">
        <v>30</v>
      </c>
      <c r="G97" s="34">
        <v>93300</v>
      </c>
      <c r="H97" s="13">
        <v>3</v>
      </c>
      <c r="I97" s="13">
        <v>3</v>
      </c>
      <c r="J97" s="33" t="s">
        <v>17</v>
      </c>
      <c r="K97" s="13">
        <v>6</v>
      </c>
      <c r="L97" s="13">
        <v>34</v>
      </c>
      <c r="M97" s="33" t="s">
        <v>17</v>
      </c>
    </row>
    <row r="98" spans="1:13" x14ac:dyDescent="0.35">
      <c r="A98" s="33" t="s">
        <v>123</v>
      </c>
      <c r="B98" s="13">
        <v>48</v>
      </c>
      <c r="C98" s="33" t="s">
        <v>14</v>
      </c>
      <c r="D98" s="33" t="s">
        <v>25</v>
      </c>
      <c r="E98" s="33" t="s">
        <v>21</v>
      </c>
      <c r="F98" s="13">
        <v>22</v>
      </c>
      <c r="G98" s="34">
        <v>92200</v>
      </c>
      <c r="H98" s="13">
        <v>3</v>
      </c>
      <c r="I98" s="13">
        <v>3</v>
      </c>
      <c r="J98" s="33" t="s">
        <v>17</v>
      </c>
      <c r="K98" s="13">
        <v>3</v>
      </c>
      <c r="L98" s="13">
        <v>27</v>
      </c>
      <c r="M98" s="33" t="s">
        <v>17</v>
      </c>
    </row>
    <row r="99" spans="1:13" x14ac:dyDescent="0.35">
      <c r="A99" s="33" t="s">
        <v>124</v>
      </c>
      <c r="B99" s="13">
        <v>38</v>
      </c>
      <c r="C99" s="33" t="s">
        <v>19</v>
      </c>
      <c r="D99" s="33" t="s">
        <v>15</v>
      </c>
      <c r="E99" s="33" t="s">
        <v>16</v>
      </c>
      <c r="F99" s="13">
        <v>11</v>
      </c>
      <c r="G99" s="34">
        <v>71200</v>
      </c>
      <c r="H99" s="13">
        <v>2</v>
      </c>
      <c r="I99" s="13">
        <v>4</v>
      </c>
      <c r="J99" s="33" t="s">
        <v>17</v>
      </c>
      <c r="K99" s="13">
        <v>6</v>
      </c>
      <c r="L99" s="13">
        <v>32</v>
      </c>
      <c r="M99" s="33" t="s">
        <v>17</v>
      </c>
    </row>
    <row r="100" spans="1:13" x14ac:dyDescent="0.35">
      <c r="A100" s="33" t="s">
        <v>125</v>
      </c>
      <c r="B100" s="13">
        <v>45</v>
      </c>
      <c r="C100" s="33" t="s">
        <v>19</v>
      </c>
      <c r="D100" s="33" t="s">
        <v>30</v>
      </c>
      <c r="E100" s="33" t="s">
        <v>21</v>
      </c>
      <c r="F100" s="13">
        <v>17</v>
      </c>
      <c r="G100" s="34">
        <v>62500</v>
      </c>
      <c r="H100" s="13">
        <v>5</v>
      </c>
      <c r="I100" s="13">
        <v>5</v>
      </c>
      <c r="J100" s="33" t="s">
        <v>17</v>
      </c>
      <c r="K100" s="13">
        <v>8</v>
      </c>
      <c r="L100" s="13">
        <v>10</v>
      </c>
      <c r="M100" s="33" t="s">
        <v>17</v>
      </c>
    </row>
    <row r="101" spans="1:13" x14ac:dyDescent="0.35">
      <c r="A101" s="33" t="s">
        <v>126</v>
      </c>
      <c r="B101" s="13">
        <v>46</v>
      </c>
      <c r="C101" s="33" t="s">
        <v>14</v>
      </c>
      <c r="D101" s="33" t="s">
        <v>30</v>
      </c>
      <c r="E101" s="33" t="s">
        <v>16</v>
      </c>
      <c r="F101" s="13">
        <v>18</v>
      </c>
      <c r="G101" s="34">
        <v>80700</v>
      </c>
      <c r="H101" s="13">
        <v>3</v>
      </c>
      <c r="I101" s="13">
        <v>3</v>
      </c>
      <c r="J101" s="33" t="s">
        <v>32</v>
      </c>
      <c r="K101" s="13">
        <v>8</v>
      </c>
      <c r="L101" s="13">
        <v>24</v>
      </c>
      <c r="M101" s="33" t="s">
        <v>17</v>
      </c>
    </row>
    <row r="102" spans="1:13" x14ac:dyDescent="0.35">
      <c r="A102" s="33" t="s">
        <v>127</v>
      </c>
      <c r="B102" s="13">
        <v>28</v>
      </c>
      <c r="C102" s="33" t="s">
        <v>19</v>
      </c>
      <c r="D102" s="33" t="s">
        <v>30</v>
      </c>
      <c r="E102" s="33" t="s">
        <v>21</v>
      </c>
      <c r="F102" s="13">
        <v>6</v>
      </c>
      <c r="G102" s="34">
        <v>34500</v>
      </c>
      <c r="H102" s="13">
        <v>2</v>
      </c>
      <c r="I102" s="13">
        <v>3</v>
      </c>
      <c r="J102" s="33" t="s">
        <v>17</v>
      </c>
      <c r="K102" s="13">
        <v>5</v>
      </c>
      <c r="L102" s="13">
        <v>39</v>
      </c>
      <c r="M102" s="33" t="s">
        <v>17</v>
      </c>
    </row>
    <row r="103" spans="1:13" x14ac:dyDescent="0.35">
      <c r="A103" s="33" t="s">
        <v>128</v>
      </c>
      <c r="B103" s="13">
        <v>27</v>
      </c>
      <c r="C103" s="33" t="s">
        <v>19</v>
      </c>
      <c r="D103" s="33" t="s">
        <v>25</v>
      </c>
      <c r="E103" s="33" t="s">
        <v>16</v>
      </c>
      <c r="F103" s="13">
        <v>0</v>
      </c>
      <c r="G103" s="34">
        <v>44800</v>
      </c>
      <c r="H103" s="13">
        <v>3</v>
      </c>
      <c r="I103" s="13">
        <v>3</v>
      </c>
      <c r="J103" s="33" t="s">
        <v>17</v>
      </c>
      <c r="K103" s="13">
        <v>3</v>
      </c>
      <c r="L103" s="13">
        <v>30</v>
      </c>
      <c r="M103" s="33" t="s">
        <v>32</v>
      </c>
    </row>
    <row r="104" spans="1:13" x14ac:dyDescent="0.35">
      <c r="A104" s="33" t="s">
        <v>129</v>
      </c>
      <c r="B104" s="13">
        <v>45</v>
      </c>
      <c r="C104" s="33" t="s">
        <v>14</v>
      </c>
      <c r="D104" s="33" t="s">
        <v>15</v>
      </c>
      <c r="E104" s="33" t="s">
        <v>21</v>
      </c>
      <c r="F104" s="13">
        <v>18</v>
      </c>
      <c r="G104" s="34">
        <v>82800</v>
      </c>
      <c r="H104" s="13">
        <v>3</v>
      </c>
      <c r="I104" s="13">
        <v>4</v>
      </c>
      <c r="J104" s="33" t="s">
        <v>17</v>
      </c>
      <c r="K104" s="13">
        <v>3</v>
      </c>
      <c r="L104" s="13">
        <v>29</v>
      </c>
      <c r="M104" s="33" t="s">
        <v>17</v>
      </c>
    </row>
    <row r="105" spans="1:13" x14ac:dyDescent="0.35">
      <c r="A105" s="33" t="s">
        <v>130</v>
      </c>
      <c r="B105" s="13">
        <v>54</v>
      </c>
      <c r="C105" s="33" t="s">
        <v>19</v>
      </c>
      <c r="D105" s="33" t="s">
        <v>25</v>
      </c>
      <c r="E105" s="33" t="s">
        <v>16</v>
      </c>
      <c r="F105" s="13">
        <v>30</v>
      </c>
      <c r="G105" s="34">
        <v>117600</v>
      </c>
      <c r="H105" s="13">
        <v>4</v>
      </c>
      <c r="I105" s="13">
        <v>4</v>
      </c>
      <c r="J105" s="33" t="s">
        <v>32</v>
      </c>
      <c r="K105" s="13">
        <v>5</v>
      </c>
      <c r="L105" s="13">
        <v>48</v>
      </c>
      <c r="M105" s="33" t="s">
        <v>17</v>
      </c>
    </row>
    <row r="106" spans="1:13" x14ac:dyDescent="0.35">
      <c r="A106" s="33" t="s">
        <v>131</v>
      </c>
      <c r="B106" s="13">
        <v>50</v>
      </c>
      <c r="C106" s="33" t="s">
        <v>14</v>
      </c>
      <c r="D106" s="33" t="s">
        <v>20</v>
      </c>
      <c r="E106" s="33" t="s">
        <v>16</v>
      </c>
      <c r="F106" s="13">
        <v>26</v>
      </c>
      <c r="G106" s="34">
        <v>104700</v>
      </c>
      <c r="H106" s="13">
        <v>4</v>
      </c>
      <c r="I106" s="13">
        <v>3</v>
      </c>
      <c r="J106" s="33" t="s">
        <v>17</v>
      </c>
      <c r="K106" s="13">
        <v>7</v>
      </c>
      <c r="L106" s="13">
        <v>20</v>
      </c>
      <c r="M106" s="33" t="s">
        <v>17</v>
      </c>
    </row>
    <row r="107" spans="1:13" x14ac:dyDescent="0.35">
      <c r="A107" s="33" t="s">
        <v>132</v>
      </c>
      <c r="B107" s="13">
        <v>43</v>
      </c>
      <c r="C107" s="33" t="s">
        <v>14</v>
      </c>
      <c r="D107" s="33" t="s">
        <v>27</v>
      </c>
      <c r="E107" s="33" t="s">
        <v>21</v>
      </c>
      <c r="F107" s="13">
        <v>15</v>
      </c>
      <c r="G107" s="34">
        <v>63300</v>
      </c>
      <c r="H107" s="13">
        <v>4</v>
      </c>
      <c r="I107" s="13">
        <v>4</v>
      </c>
      <c r="J107" s="33" t="s">
        <v>32</v>
      </c>
      <c r="K107" s="13">
        <v>4</v>
      </c>
      <c r="L107" s="13">
        <v>20</v>
      </c>
      <c r="M107" s="33" t="s">
        <v>17</v>
      </c>
    </row>
    <row r="108" spans="1:13" x14ac:dyDescent="0.35">
      <c r="A108" s="33" t="s">
        <v>133</v>
      </c>
      <c r="B108" s="13">
        <v>47</v>
      </c>
      <c r="C108" s="33" t="s">
        <v>19</v>
      </c>
      <c r="D108" s="33" t="s">
        <v>15</v>
      </c>
      <c r="E108" s="33" t="s">
        <v>21</v>
      </c>
      <c r="F108" s="13">
        <v>23</v>
      </c>
      <c r="G108" s="34">
        <v>89700</v>
      </c>
      <c r="H108" s="13">
        <v>1</v>
      </c>
      <c r="I108" s="13">
        <v>2</v>
      </c>
      <c r="J108" s="33" t="s">
        <v>17</v>
      </c>
      <c r="K108" s="13">
        <v>8</v>
      </c>
      <c r="L108" s="13">
        <v>24</v>
      </c>
      <c r="M108" s="33" t="s">
        <v>17</v>
      </c>
    </row>
    <row r="109" spans="1:13" x14ac:dyDescent="0.35">
      <c r="A109" s="33" t="s">
        <v>134</v>
      </c>
      <c r="B109" s="13">
        <v>49</v>
      </c>
      <c r="C109" s="33" t="s">
        <v>19</v>
      </c>
      <c r="D109" s="33" t="s">
        <v>23</v>
      </c>
      <c r="E109" s="33" t="s">
        <v>31</v>
      </c>
      <c r="F109" s="13">
        <v>23</v>
      </c>
      <c r="G109" s="34">
        <v>90200</v>
      </c>
      <c r="H109" s="13">
        <v>3</v>
      </c>
      <c r="I109" s="13">
        <v>4</v>
      </c>
      <c r="J109" s="33" t="s">
        <v>17</v>
      </c>
      <c r="K109" s="13">
        <v>12</v>
      </c>
      <c r="L109" s="13">
        <v>36</v>
      </c>
      <c r="M109" s="33" t="s">
        <v>17</v>
      </c>
    </row>
    <row r="110" spans="1:13" x14ac:dyDescent="0.35">
      <c r="A110" s="33" t="s">
        <v>135</v>
      </c>
      <c r="B110" s="13">
        <v>42</v>
      </c>
      <c r="C110" s="33" t="s">
        <v>19</v>
      </c>
      <c r="D110" s="33" t="s">
        <v>27</v>
      </c>
      <c r="E110" s="33" t="s">
        <v>16</v>
      </c>
      <c r="F110" s="13">
        <v>17</v>
      </c>
      <c r="G110" s="34">
        <v>90300</v>
      </c>
      <c r="H110" s="13">
        <v>3</v>
      </c>
      <c r="I110" s="13">
        <v>3</v>
      </c>
      <c r="J110" s="33" t="s">
        <v>17</v>
      </c>
      <c r="K110" s="13">
        <v>7</v>
      </c>
      <c r="L110" s="13">
        <v>1</v>
      </c>
      <c r="M110" s="33" t="s">
        <v>17</v>
      </c>
    </row>
    <row r="111" spans="1:13" x14ac:dyDescent="0.35">
      <c r="A111" s="33" t="s">
        <v>136</v>
      </c>
      <c r="B111" s="13">
        <v>28</v>
      </c>
      <c r="C111" s="33" t="s">
        <v>19</v>
      </c>
      <c r="D111" s="33" t="s">
        <v>30</v>
      </c>
      <c r="E111" s="33" t="s">
        <v>16</v>
      </c>
      <c r="F111" s="13">
        <v>5</v>
      </c>
      <c r="G111" s="34">
        <v>62600</v>
      </c>
      <c r="H111" s="13">
        <v>1</v>
      </c>
      <c r="I111" s="13">
        <v>2</v>
      </c>
      <c r="J111" s="33" t="s">
        <v>17</v>
      </c>
      <c r="K111" s="13">
        <v>5</v>
      </c>
      <c r="L111" s="13">
        <v>25</v>
      </c>
      <c r="M111" s="33" t="s">
        <v>17</v>
      </c>
    </row>
    <row r="112" spans="1:13" x14ac:dyDescent="0.35">
      <c r="A112" s="33" t="s">
        <v>137</v>
      </c>
      <c r="B112" s="13">
        <v>38</v>
      </c>
      <c r="C112" s="33" t="s">
        <v>14</v>
      </c>
      <c r="D112" s="33" t="s">
        <v>15</v>
      </c>
      <c r="E112" s="33" t="s">
        <v>16</v>
      </c>
      <c r="F112" s="13">
        <v>8</v>
      </c>
      <c r="G112" s="34">
        <v>78100</v>
      </c>
      <c r="H112" s="13">
        <v>3</v>
      </c>
      <c r="I112" s="13">
        <v>4</v>
      </c>
      <c r="J112" s="33" t="s">
        <v>32</v>
      </c>
      <c r="K112" s="13">
        <v>2</v>
      </c>
      <c r="L112" s="13">
        <v>37</v>
      </c>
      <c r="M112" s="33" t="s">
        <v>17</v>
      </c>
    </row>
    <row r="113" spans="1:13" x14ac:dyDescent="0.35">
      <c r="A113" s="33" t="s">
        <v>138</v>
      </c>
      <c r="B113" s="13">
        <v>41</v>
      </c>
      <c r="C113" s="33" t="s">
        <v>19</v>
      </c>
      <c r="D113" s="33" t="s">
        <v>27</v>
      </c>
      <c r="E113" s="33" t="s">
        <v>21</v>
      </c>
      <c r="F113" s="13">
        <v>19</v>
      </c>
      <c r="G113" s="34">
        <v>81200</v>
      </c>
      <c r="H113" s="13">
        <v>4</v>
      </c>
      <c r="I113" s="13">
        <v>3</v>
      </c>
      <c r="J113" s="33" t="s">
        <v>17</v>
      </c>
      <c r="K113" s="13">
        <v>12</v>
      </c>
      <c r="L113" s="13">
        <v>19</v>
      </c>
      <c r="M113" s="33" t="s">
        <v>17</v>
      </c>
    </row>
    <row r="114" spans="1:13" x14ac:dyDescent="0.35">
      <c r="A114" s="33" t="s">
        <v>139</v>
      </c>
      <c r="B114" s="13">
        <v>41</v>
      </c>
      <c r="C114" s="33" t="s">
        <v>14</v>
      </c>
      <c r="D114" s="33" t="s">
        <v>20</v>
      </c>
      <c r="E114" s="33" t="s">
        <v>21</v>
      </c>
      <c r="F114" s="13">
        <v>12</v>
      </c>
      <c r="G114" s="34">
        <v>64900</v>
      </c>
      <c r="H114" s="13">
        <v>2</v>
      </c>
      <c r="I114" s="13">
        <v>2</v>
      </c>
      <c r="J114" s="33" t="s">
        <v>17</v>
      </c>
      <c r="K114" s="13">
        <v>1</v>
      </c>
      <c r="L114" s="13">
        <v>35</v>
      </c>
      <c r="M114" s="33" t="s">
        <v>17</v>
      </c>
    </row>
    <row r="115" spans="1:13" x14ac:dyDescent="0.35">
      <c r="A115" s="33" t="s">
        <v>140</v>
      </c>
      <c r="B115" s="13">
        <v>43</v>
      </c>
      <c r="C115" s="33" t="s">
        <v>19</v>
      </c>
      <c r="D115" s="33" t="s">
        <v>20</v>
      </c>
      <c r="E115" s="33" t="s">
        <v>31</v>
      </c>
      <c r="F115" s="13">
        <v>13</v>
      </c>
      <c r="G115" s="34">
        <v>73700</v>
      </c>
      <c r="H115" s="13">
        <v>3</v>
      </c>
      <c r="I115" s="13">
        <v>4</v>
      </c>
      <c r="J115" s="33" t="s">
        <v>17</v>
      </c>
      <c r="K115" s="13">
        <v>9</v>
      </c>
      <c r="L115" s="13">
        <v>35</v>
      </c>
      <c r="M115" s="33" t="s">
        <v>17</v>
      </c>
    </row>
    <row r="116" spans="1:13" x14ac:dyDescent="0.35">
      <c r="A116" s="33" t="s">
        <v>141</v>
      </c>
      <c r="B116" s="13">
        <v>49</v>
      </c>
      <c r="C116" s="33" t="s">
        <v>19</v>
      </c>
      <c r="D116" s="33" t="s">
        <v>25</v>
      </c>
      <c r="E116" s="33" t="s">
        <v>21</v>
      </c>
      <c r="F116" s="13">
        <v>20</v>
      </c>
      <c r="G116" s="34">
        <v>77900</v>
      </c>
      <c r="H116" s="13">
        <v>2</v>
      </c>
      <c r="I116" s="13">
        <v>3</v>
      </c>
      <c r="J116" s="33" t="s">
        <v>17</v>
      </c>
      <c r="K116" s="13">
        <v>9</v>
      </c>
      <c r="L116" s="13">
        <v>48</v>
      </c>
      <c r="M116" s="33" t="s">
        <v>17</v>
      </c>
    </row>
    <row r="117" spans="1:13" x14ac:dyDescent="0.35">
      <c r="A117" s="33" t="s">
        <v>142</v>
      </c>
      <c r="B117" s="13">
        <v>28</v>
      </c>
      <c r="C117" s="33" t="s">
        <v>19</v>
      </c>
      <c r="D117" s="33" t="s">
        <v>20</v>
      </c>
      <c r="E117" s="33" t="s">
        <v>16</v>
      </c>
      <c r="F117" s="13">
        <v>7</v>
      </c>
      <c r="G117" s="34">
        <v>61100</v>
      </c>
      <c r="H117" s="13">
        <v>1</v>
      </c>
      <c r="I117" s="13">
        <v>3</v>
      </c>
      <c r="J117" s="33" t="s">
        <v>17</v>
      </c>
      <c r="K117" s="13">
        <v>5</v>
      </c>
      <c r="L117" s="13">
        <v>13</v>
      </c>
      <c r="M117" s="33" t="s">
        <v>17</v>
      </c>
    </row>
    <row r="118" spans="1:13" x14ac:dyDescent="0.35">
      <c r="A118" s="33" t="s">
        <v>143</v>
      </c>
      <c r="B118" s="13">
        <v>22</v>
      </c>
      <c r="C118" s="33" t="s">
        <v>14</v>
      </c>
      <c r="D118" s="33" t="s">
        <v>20</v>
      </c>
      <c r="E118" s="33" t="s">
        <v>21</v>
      </c>
      <c r="F118" s="13">
        <v>0</v>
      </c>
      <c r="G118" s="34">
        <v>33700</v>
      </c>
      <c r="H118" s="13">
        <v>3</v>
      </c>
      <c r="I118" s="13">
        <v>4</v>
      </c>
      <c r="J118" s="33" t="s">
        <v>17</v>
      </c>
      <c r="K118" s="13">
        <v>5</v>
      </c>
      <c r="L118" s="13">
        <v>37</v>
      </c>
      <c r="M118" s="33" t="s">
        <v>17</v>
      </c>
    </row>
    <row r="119" spans="1:13" x14ac:dyDescent="0.35">
      <c r="A119" s="33" t="s">
        <v>144</v>
      </c>
      <c r="B119" s="13">
        <v>53</v>
      </c>
      <c r="C119" s="33" t="s">
        <v>19</v>
      </c>
      <c r="D119" s="33" t="s">
        <v>27</v>
      </c>
      <c r="E119" s="33" t="s">
        <v>21</v>
      </c>
      <c r="F119" s="13">
        <v>30</v>
      </c>
      <c r="G119" s="34">
        <v>102100</v>
      </c>
      <c r="H119" s="13">
        <v>5</v>
      </c>
      <c r="I119" s="13">
        <v>4</v>
      </c>
      <c r="J119" s="33" t="s">
        <v>32</v>
      </c>
      <c r="K119" s="13">
        <v>0</v>
      </c>
      <c r="L119" s="13">
        <v>15</v>
      </c>
      <c r="M119" s="33" t="s">
        <v>17</v>
      </c>
    </row>
    <row r="120" spans="1:13" x14ac:dyDescent="0.35">
      <c r="A120" s="33" t="s">
        <v>145</v>
      </c>
      <c r="B120" s="13">
        <v>34</v>
      </c>
      <c r="C120" s="33" t="s">
        <v>19</v>
      </c>
      <c r="D120" s="33" t="s">
        <v>20</v>
      </c>
      <c r="E120" s="33" t="s">
        <v>16</v>
      </c>
      <c r="F120" s="13">
        <v>6</v>
      </c>
      <c r="G120" s="34">
        <v>56500</v>
      </c>
      <c r="H120" s="13">
        <v>4</v>
      </c>
      <c r="I120" s="13">
        <v>4</v>
      </c>
      <c r="J120" s="33" t="s">
        <v>17</v>
      </c>
      <c r="K120" s="13">
        <v>7</v>
      </c>
      <c r="L120" s="13">
        <v>8</v>
      </c>
      <c r="M120" s="33" t="s">
        <v>32</v>
      </c>
    </row>
    <row r="121" spans="1:13" x14ac:dyDescent="0.35">
      <c r="A121" s="33" t="s">
        <v>146</v>
      </c>
      <c r="B121" s="13">
        <v>51</v>
      </c>
      <c r="C121" s="33" t="s">
        <v>19</v>
      </c>
      <c r="D121" s="33" t="s">
        <v>25</v>
      </c>
      <c r="E121" s="33" t="s">
        <v>21</v>
      </c>
      <c r="F121" s="13">
        <v>25</v>
      </c>
      <c r="G121" s="34">
        <v>86200</v>
      </c>
      <c r="H121" s="13">
        <v>5</v>
      </c>
      <c r="I121" s="13">
        <v>4</v>
      </c>
      <c r="J121" s="33" t="s">
        <v>17</v>
      </c>
      <c r="K121" s="13">
        <v>8</v>
      </c>
      <c r="L121" s="13">
        <v>3</v>
      </c>
      <c r="M121" s="33" t="s">
        <v>17</v>
      </c>
    </row>
    <row r="122" spans="1:13" x14ac:dyDescent="0.35">
      <c r="A122" s="33" t="s">
        <v>147</v>
      </c>
      <c r="B122" s="13">
        <v>44</v>
      </c>
      <c r="C122" s="33" t="s">
        <v>19</v>
      </c>
      <c r="D122" s="33" t="s">
        <v>20</v>
      </c>
      <c r="E122" s="33" t="s">
        <v>21</v>
      </c>
      <c r="F122" s="13">
        <v>19</v>
      </c>
      <c r="G122" s="34">
        <v>76900</v>
      </c>
      <c r="H122" s="13">
        <v>3</v>
      </c>
      <c r="I122" s="13">
        <v>4</v>
      </c>
      <c r="J122" s="33" t="s">
        <v>32</v>
      </c>
      <c r="K122" s="13">
        <v>3</v>
      </c>
      <c r="L122" s="13">
        <v>33</v>
      </c>
      <c r="M122" s="33" t="s">
        <v>17</v>
      </c>
    </row>
    <row r="123" spans="1:13" x14ac:dyDescent="0.35">
      <c r="A123" s="33" t="s">
        <v>148</v>
      </c>
      <c r="B123" s="13">
        <v>40</v>
      </c>
      <c r="C123" s="33" t="s">
        <v>14</v>
      </c>
      <c r="D123" s="33" t="s">
        <v>20</v>
      </c>
      <c r="E123" s="33" t="s">
        <v>16</v>
      </c>
      <c r="F123" s="13">
        <v>15</v>
      </c>
      <c r="G123" s="34">
        <v>68800</v>
      </c>
      <c r="H123" s="13">
        <v>2</v>
      </c>
      <c r="I123" s="13">
        <v>4</v>
      </c>
      <c r="J123" s="33" t="s">
        <v>17</v>
      </c>
      <c r="K123" s="13">
        <v>5</v>
      </c>
      <c r="L123" s="13">
        <v>29</v>
      </c>
      <c r="M123" s="33" t="s">
        <v>17</v>
      </c>
    </row>
    <row r="124" spans="1:13" x14ac:dyDescent="0.35">
      <c r="A124" s="33" t="s">
        <v>149</v>
      </c>
      <c r="B124" s="13">
        <v>53</v>
      </c>
      <c r="C124" s="33" t="s">
        <v>19</v>
      </c>
      <c r="D124" s="33" t="s">
        <v>15</v>
      </c>
      <c r="E124" s="33" t="s">
        <v>21</v>
      </c>
      <c r="F124" s="13">
        <v>27</v>
      </c>
      <c r="G124" s="34">
        <v>103100</v>
      </c>
      <c r="H124" s="13">
        <v>4</v>
      </c>
      <c r="I124" s="13">
        <v>3</v>
      </c>
      <c r="J124" s="33" t="s">
        <v>32</v>
      </c>
      <c r="K124" s="13">
        <v>8</v>
      </c>
      <c r="L124" s="13">
        <v>16</v>
      </c>
      <c r="M124" s="33" t="s">
        <v>17</v>
      </c>
    </row>
    <row r="125" spans="1:13" x14ac:dyDescent="0.35">
      <c r="A125" s="33" t="s">
        <v>150</v>
      </c>
      <c r="B125" s="13">
        <v>51</v>
      </c>
      <c r="C125" s="33" t="s">
        <v>14</v>
      </c>
      <c r="D125" s="33" t="s">
        <v>30</v>
      </c>
      <c r="E125" s="33" t="s">
        <v>16</v>
      </c>
      <c r="F125" s="13">
        <v>24</v>
      </c>
      <c r="G125" s="34">
        <v>98900</v>
      </c>
      <c r="H125" s="13">
        <v>3</v>
      </c>
      <c r="I125" s="13">
        <v>3</v>
      </c>
      <c r="J125" s="33" t="s">
        <v>17</v>
      </c>
      <c r="K125" s="13">
        <v>8</v>
      </c>
      <c r="L125" s="13">
        <v>1</v>
      </c>
      <c r="M125" s="33" t="s">
        <v>17</v>
      </c>
    </row>
    <row r="126" spans="1:13" x14ac:dyDescent="0.35">
      <c r="A126" s="33" t="s">
        <v>151</v>
      </c>
      <c r="B126" s="13">
        <v>50</v>
      </c>
      <c r="C126" s="33" t="s">
        <v>14</v>
      </c>
      <c r="D126" s="33" t="s">
        <v>27</v>
      </c>
      <c r="E126" s="33" t="s">
        <v>16</v>
      </c>
      <c r="F126" s="13">
        <v>29</v>
      </c>
      <c r="G126" s="34">
        <v>106700</v>
      </c>
      <c r="H126" s="13">
        <v>4</v>
      </c>
      <c r="I126" s="13">
        <v>4</v>
      </c>
      <c r="J126" s="33" t="s">
        <v>32</v>
      </c>
      <c r="K126" s="13">
        <v>8</v>
      </c>
      <c r="L126" s="13">
        <v>19</v>
      </c>
      <c r="M126" s="33" t="s">
        <v>17</v>
      </c>
    </row>
    <row r="127" spans="1:13" x14ac:dyDescent="0.35">
      <c r="A127" s="33" t="s">
        <v>152</v>
      </c>
      <c r="B127" s="13">
        <v>50</v>
      </c>
      <c r="C127" s="33" t="s">
        <v>14</v>
      </c>
      <c r="D127" s="33" t="s">
        <v>15</v>
      </c>
      <c r="E127" s="33" t="s">
        <v>41</v>
      </c>
      <c r="F127" s="13">
        <v>21</v>
      </c>
      <c r="G127" s="34">
        <v>105300</v>
      </c>
      <c r="H127" s="13">
        <v>2</v>
      </c>
      <c r="I127" s="13">
        <v>3</v>
      </c>
      <c r="J127" s="33" t="s">
        <v>17</v>
      </c>
      <c r="K127" s="13">
        <v>0</v>
      </c>
      <c r="L127" s="13">
        <v>22</v>
      </c>
      <c r="M127" s="33" t="s">
        <v>17</v>
      </c>
    </row>
    <row r="128" spans="1:13" x14ac:dyDescent="0.35">
      <c r="A128" s="33" t="s">
        <v>153</v>
      </c>
      <c r="B128" s="13">
        <v>51</v>
      </c>
      <c r="C128" s="33" t="s">
        <v>14</v>
      </c>
      <c r="D128" s="33" t="s">
        <v>20</v>
      </c>
      <c r="E128" s="33" t="s">
        <v>21</v>
      </c>
      <c r="F128" s="13">
        <v>28</v>
      </c>
      <c r="G128" s="34">
        <v>98600</v>
      </c>
      <c r="H128" s="13">
        <v>3</v>
      </c>
      <c r="I128" s="13">
        <v>4</v>
      </c>
      <c r="J128" s="33" t="s">
        <v>32</v>
      </c>
      <c r="K128" s="13">
        <v>5</v>
      </c>
      <c r="L128" s="13">
        <v>37</v>
      </c>
      <c r="M128" s="33" t="s">
        <v>17</v>
      </c>
    </row>
    <row r="129" spans="1:13" x14ac:dyDescent="0.35">
      <c r="A129" s="33" t="s">
        <v>154</v>
      </c>
      <c r="B129" s="13">
        <v>37</v>
      </c>
      <c r="C129" s="33" t="s">
        <v>14</v>
      </c>
      <c r="D129" s="33" t="s">
        <v>20</v>
      </c>
      <c r="E129" s="33" t="s">
        <v>16</v>
      </c>
      <c r="F129" s="13">
        <v>13</v>
      </c>
      <c r="G129" s="34">
        <v>74800</v>
      </c>
      <c r="H129" s="13">
        <v>2</v>
      </c>
      <c r="I129" s="13">
        <v>3</v>
      </c>
      <c r="J129" s="33" t="s">
        <v>32</v>
      </c>
      <c r="K129" s="13">
        <v>8</v>
      </c>
      <c r="L129" s="13">
        <v>22</v>
      </c>
      <c r="M129" s="33" t="s">
        <v>17</v>
      </c>
    </row>
    <row r="130" spans="1:13" x14ac:dyDescent="0.35">
      <c r="A130" s="33" t="s">
        <v>155</v>
      </c>
      <c r="B130" s="13">
        <v>40</v>
      </c>
      <c r="C130" s="33" t="s">
        <v>14</v>
      </c>
      <c r="D130" s="33" t="s">
        <v>30</v>
      </c>
      <c r="E130" s="33" t="s">
        <v>21</v>
      </c>
      <c r="F130" s="13">
        <v>10</v>
      </c>
      <c r="G130" s="34">
        <v>57100</v>
      </c>
      <c r="H130" s="13">
        <v>3</v>
      </c>
      <c r="I130" s="13">
        <v>2</v>
      </c>
      <c r="J130" s="33" t="s">
        <v>17</v>
      </c>
      <c r="K130" s="13">
        <v>9</v>
      </c>
      <c r="L130" s="13">
        <v>25</v>
      </c>
      <c r="M130" s="33" t="s">
        <v>17</v>
      </c>
    </row>
    <row r="131" spans="1:13" x14ac:dyDescent="0.35">
      <c r="A131" s="33" t="s">
        <v>156</v>
      </c>
      <c r="B131" s="13">
        <v>39</v>
      </c>
      <c r="C131" s="33" t="s">
        <v>19</v>
      </c>
      <c r="D131" s="33" t="s">
        <v>25</v>
      </c>
      <c r="E131" s="33" t="s">
        <v>21</v>
      </c>
      <c r="F131" s="13">
        <v>18</v>
      </c>
      <c r="G131" s="34">
        <v>83200</v>
      </c>
      <c r="H131" s="13">
        <v>4</v>
      </c>
      <c r="I131" s="13">
        <v>4</v>
      </c>
      <c r="J131" s="33" t="s">
        <v>32</v>
      </c>
      <c r="K131" s="13">
        <v>5</v>
      </c>
      <c r="L131" s="13">
        <v>22</v>
      </c>
      <c r="M131" s="33" t="s">
        <v>17</v>
      </c>
    </row>
    <row r="132" spans="1:13" x14ac:dyDescent="0.35">
      <c r="A132" s="33" t="s">
        <v>157</v>
      </c>
      <c r="B132" s="13">
        <v>22</v>
      </c>
      <c r="C132" s="33" t="s">
        <v>14</v>
      </c>
      <c r="D132" s="33" t="s">
        <v>15</v>
      </c>
      <c r="E132" s="33" t="s">
        <v>21</v>
      </c>
      <c r="F132" s="13">
        <v>0</v>
      </c>
      <c r="G132" s="34">
        <v>30300</v>
      </c>
      <c r="H132" s="13">
        <v>3</v>
      </c>
      <c r="I132" s="13">
        <v>4</v>
      </c>
      <c r="J132" s="33" t="s">
        <v>17</v>
      </c>
      <c r="K132" s="13">
        <v>15</v>
      </c>
      <c r="L132" s="13">
        <v>48</v>
      </c>
      <c r="M132" s="33" t="s">
        <v>17</v>
      </c>
    </row>
    <row r="133" spans="1:13" x14ac:dyDescent="0.35">
      <c r="A133" s="33" t="s">
        <v>158</v>
      </c>
      <c r="B133" s="13">
        <v>35</v>
      </c>
      <c r="C133" s="33" t="s">
        <v>14</v>
      </c>
      <c r="D133" s="33" t="s">
        <v>27</v>
      </c>
      <c r="E133" s="33" t="s">
        <v>41</v>
      </c>
      <c r="F133" s="13">
        <v>12</v>
      </c>
      <c r="G133" s="34">
        <v>101000</v>
      </c>
      <c r="H133" s="13">
        <v>3</v>
      </c>
      <c r="I133" s="13">
        <v>4</v>
      </c>
      <c r="J133" s="33" t="s">
        <v>17</v>
      </c>
      <c r="K133" s="13">
        <v>0</v>
      </c>
      <c r="L133" s="13">
        <v>15</v>
      </c>
      <c r="M133" s="33" t="s">
        <v>17</v>
      </c>
    </row>
    <row r="134" spans="1:13" x14ac:dyDescent="0.35">
      <c r="A134" s="33" t="s">
        <v>159</v>
      </c>
      <c r="B134" s="13">
        <v>23</v>
      </c>
      <c r="C134" s="33" t="s">
        <v>14</v>
      </c>
      <c r="D134" s="33" t="s">
        <v>30</v>
      </c>
      <c r="E134" s="33" t="s">
        <v>21</v>
      </c>
      <c r="F134" s="13">
        <v>1</v>
      </c>
      <c r="G134" s="34">
        <v>32100</v>
      </c>
      <c r="H134" s="13">
        <v>3</v>
      </c>
      <c r="I134" s="13">
        <v>4</v>
      </c>
      <c r="J134" s="33" t="s">
        <v>17</v>
      </c>
      <c r="K134" s="13">
        <v>4</v>
      </c>
      <c r="L134" s="13">
        <v>19</v>
      </c>
      <c r="M134" s="33" t="s">
        <v>17</v>
      </c>
    </row>
    <row r="135" spans="1:13" x14ac:dyDescent="0.35">
      <c r="A135" s="33" t="s">
        <v>160</v>
      </c>
      <c r="B135" s="13">
        <v>49</v>
      </c>
      <c r="C135" s="33" t="s">
        <v>19</v>
      </c>
      <c r="D135" s="33" t="s">
        <v>15</v>
      </c>
      <c r="E135" s="33" t="s">
        <v>21</v>
      </c>
      <c r="F135" s="13">
        <v>27</v>
      </c>
      <c r="G135" s="34">
        <v>107200</v>
      </c>
      <c r="H135" s="13">
        <v>3</v>
      </c>
      <c r="I135" s="13">
        <v>4</v>
      </c>
      <c r="J135" s="33" t="s">
        <v>17</v>
      </c>
      <c r="K135" s="13">
        <v>6</v>
      </c>
      <c r="L135" s="13">
        <v>21</v>
      </c>
      <c r="M135" s="33" t="s">
        <v>17</v>
      </c>
    </row>
    <row r="136" spans="1:13" x14ac:dyDescent="0.35">
      <c r="A136" s="33" t="s">
        <v>161</v>
      </c>
      <c r="B136" s="13">
        <v>51</v>
      </c>
      <c r="C136" s="33" t="s">
        <v>19</v>
      </c>
      <c r="D136" s="33" t="s">
        <v>20</v>
      </c>
      <c r="E136" s="33" t="s">
        <v>16</v>
      </c>
      <c r="F136" s="13">
        <v>30</v>
      </c>
      <c r="G136" s="34">
        <v>102400</v>
      </c>
      <c r="H136" s="13">
        <v>4</v>
      </c>
      <c r="I136" s="13">
        <v>4</v>
      </c>
      <c r="J136" s="33" t="s">
        <v>17</v>
      </c>
      <c r="K136" s="13">
        <v>5</v>
      </c>
      <c r="L136" s="13">
        <v>34</v>
      </c>
      <c r="M136" s="33" t="s">
        <v>17</v>
      </c>
    </row>
    <row r="137" spans="1:13" x14ac:dyDescent="0.35">
      <c r="A137" s="33" t="s">
        <v>162</v>
      </c>
      <c r="B137" s="13">
        <v>59</v>
      </c>
      <c r="C137" s="33" t="s">
        <v>14</v>
      </c>
      <c r="D137" s="33" t="s">
        <v>15</v>
      </c>
      <c r="E137" s="33" t="s">
        <v>21</v>
      </c>
      <c r="F137" s="13">
        <v>31</v>
      </c>
      <c r="G137" s="34">
        <v>117700</v>
      </c>
      <c r="H137" s="13">
        <v>5</v>
      </c>
      <c r="I137" s="13">
        <v>4</v>
      </c>
      <c r="J137" s="33" t="s">
        <v>17</v>
      </c>
      <c r="K137" s="13">
        <v>1</v>
      </c>
      <c r="L137" s="13">
        <v>15</v>
      </c>
      <c r="M137" s="33" t="s">
        <v>17</v>
      </c>
    </row>
    <row r="138" spans="1:13" x14ac:dyDescent="0.35">
      <c r="A138" s="33" t="s">
        <v>163</v>
      </c>
      <c r="B138" s="13">
        <v>25</v>
      </c>
      <c r="C138" s="33" t="s">
        <v>19</v>
      </c>
      <c r="D138" s="33" t="s">
        <v>25</v>
      </c>
      <c r="E138" s="33" t="s">
        <v>31</v>
      </c>
      <c r="F138" s="13">
        <v>2</v>
      </c>
      <c r="G138" s="34">
        <v>42300</v>
      </c>
      <c r="H138" s="13">
        <v>5</v>
      </c>
      <c r="I138" s="13">
        <v>3</v>
      </c>
      <c r="J138" s="33" t="s">
        <v>17</v>
      </c>
      <c r="K138" s="13">
        <v>8</v>
      </c>
      <c r="L138" s="13">
        <v>24</v>
      </c>
      <c r="M138" s="33" t="s">
        <v>17</v>
      </c>
    </row>
    <row r="139" spans="1:13" x14ac:dyDescent="0.35">
      <c r="A139" s="33" t="s">
        <v>164</v>
      </c>
      <c r="B139" s="13">
        <v>22</v>
      </c>
      <c r="C139" s="33" t="s">
        <v>14</v>
      </c>
      <c r="D139" s="33" t="s">
        <v>23</v>
      </c>
      <c r="E139" s="33" t="s">
        <v>21</v>
      </c>
      <c r="F139" s="13">
        <v>0</v>
      </c>
      <c r="G139" s="34">
        <v>31400</v>
      </c>
      <c r="H139" s="13">
        <v>4</v>
      </c>
      <c r="I139" s="13">
        <v>4</v>
      </c>
      <c r="J139" s="33" t="s">
        <v>32</v>
      </c>
      <c r="K139" s="13">
        <v>9</v>
      </c>
      <c r="L139" s="13">
        <v>29</v>
      </c>
      <c r="M139" s="33" t="s">
        <v>17</v>
      </c>
    </row>
    <row r="140" spans="1:13" x14ac:dyDescent="0.35">
      <c r="A140" s="33" t="s">
        <v>165</v>
      </c>
      <c r="B140" s="13">
        <v>29</v>
      </c>
      <c r="C140" s="33" t="s">
        <v>14</v>
      </c>
      <c r="D140" s="33" t="s">
        <v>15</v>
      </c>
      <c r="E140" s="33" t="s">
        <v>21</v>
      </c>
      <c r="F140" s="13">
        <v>3</v>
      </c>
      <c r="G140" s="34">
        <v>59100</v>
      </c>
      <c r="H140" s="13">
        <v>3</v>
      </c>
      <c r="I140" s="13">
        <v>4</v>
      </c>
      <c r="J140" s="33" t="s">
        <v>32</v>
      </c>
      <c r="K140" s="13">
        <v>8</v>
      </c>
      <c r="L140" s="13">
        <v>19</v>
      </c>
      <c r="M140" s="33" t="s">
        <v>17</v>
      </c>
    </row>
    <row r="141" spans="1:13" x14ac:dyDescent="0.35">
      <c r="A141" s="33" t="s">
        <v>166</v>
      </c>
      <c r="B141" s="13">
        <v>50</v>
      </c>
      <c r="C141" s="33" t="s">
        <v>19</v>
      </c>
      <c r="D141" s="33" t="s">
        <v>20</v>
      </c>
      <c r="E141" s="33" t="s">
        <v>21</v>
      </c>
      <c r="F141" s="13">
        <v>22</v>
      </c>
      <c r="G141" s="34">
        <v>83300</v>
      </c>
      <c r="H141" s="13">
        <v>4</v>
      </c>
      <c r="I141" s="13">
        <v>4</v>
      </c>
      <c r="J141" s="33" t="s">
        <v>17</v>
      </c>
      <c r="K141" s="13">
        <v>7</v>
      </c>
      <c r="L141" s="13">
        <v>31</v>
      </c>
      <c r="M141" s="33" t="s">
        <v>17</v>
      </c>
    </row>
    <row r="142" spans="1:13" x14ac:dyDescent="0.35">
      <c r="A142" s="33" t="s">
        <v>167</v>
      </c>
      <c r="B142" s="13">
        <v>60</v>
      </c>
      <c r="C142" s="33" t="s">
        <v>14</v>
      </c>
      <c r="D142" s="33" t="s">
        <v>20</v>
      </c>
      <c r="E142" s="33" t="s">
        <v>21</v>
      </c>
      <c r="F142" s="13">
        <v>31</v>
      </c>
      <c r="G142" s="34">
        <v>108000</v>
      </c>
      <c r="H142" s="13">
        <v>3</v>
      </c>
      <c r="I142" s="13">
        <v>4</v>
      </c>
      <c r="J142" s="33" t="s">
        <v>17</v>
      </c>
      <c r="K142" s="13">
        <v>4</v>
      </c>
      <c r="L142" s="13">
        <v>15</v>
      </c>
      <c r="M142" s="33" t="s">
        <v>17</v>
      </c>
    </row>
    <row r="143" spans="1:13" x14ac:dyDescent="0.35">
      <c r="A143" s="33" t="s">
        <v>168</v>
      </c>
      <c r="B143" s="13">
        <v>24</v>
      </c>
      <c r="C143" s="33" t="s">
        <v>19</v>
      </c>
      <c r="D143" s="33" t="s">
        <v>27</v>
      </c>
      <c r="E143" s="33" t="s">
        <v>16</v>
      </c>
      <c r="F143" s="13">
        <v>0</v>
      </c>
      <c r="G143" s="34">
        <v>40600</v>
      </c>
      <c r="H143" s="13">
        <v>3</v>
      </c>
      <c r="I143" s="13">
        <v>3</v>
      </c>
      <c r="J143" s="33" t="s">
        <v>17</v>
      </c>
      <c r="K143" s="13">
        <v>0</v>
      </c>
      <c r="L143" s="13">
        <v>9</v>
      </c>
      <c r="M143" s="33" t="s">
        <v>17</v>
      </c>
    </row>
    <row r="144" spans="1:13" x14ac:dyDescent="0.35">
      <c r="A144" s="33" t="s">
        <v>169</v>
      </c>
      <c r="B144" s="13">
        <v>53</v>
      </c>
      <c r="C144" s="33" t="s">
        <v>19</v>
      </c>
      <c r="D144" s="33" t="s">
        <v>25</v>
      </c>
      <c r="E144" s="33" t="s">
        <v>21</v>
      </c>
      <c r="F144" s="13">
        <v>29</v>
      </c>
      <c r="G144" s="34">
        <v>99600</v>
      </c>
      <c r="H144" s="13">
        <v>4</v>
      </c>
      <c r="I144" s="13">
        <v>4</v>
      </c>
      <c r="J144" s="33" t="s">
        <v>17</v>
      </c>
      <c r="K144" s="13">
        <v>3</v>
      </c>
      <c r="L144" s="13">
        <v>28</v>
      </c>
      <c r="M144" s="33" t="s">
        <v>17</v>
      </c>
    </row>
    <row r="145" spans="1:13" x14ac:dyDescent="0.35">
      <c r="A145" s="33" t="s">
        <v>170</v>
      </c>
      <c r="B145" s="13">
        <v>31</v>
      </c>
      <c r="C145" s="33" t="s">
        <v>14</v>
      </c>
      <c r="D145" s="33" t="s">
        <v>15</v>
      </c>
      <c r="E145" s="33" t="s">
        <v>21</v>
      </c>
      <c r="F145" s="13">
        <v>6</v>
      </c>
      <c r="G145" s="34">
        <v>72200</v>
      </c>
      <c r="H145" s="13">
        <v>1</v>
      </c>
      <c r="I145" s="13">
        <v>3</v>
      </c>
      <c r="J145" s="33" t="s">
        <v>17</v>
      </c>
      <c r="K145" s="13">
        <v>7</v>
      </c>
      <c r="L145" s="13">
        <v>2</v>
      </c>
      <c r="M145" s="33" t="s">
        <v>17</v>
      </c>
    </row>
    <row r="146" spans="1:13" x14ac:dyDescent="0.35">
      <c r="A146" s="33" t="s">
        <v>171</v>
      </c>
      <c r="B146" s="13">
        <v>31</v>
      </c>
      <c r="C146" s="33" t="s">
        <v>14</v>
      </c>
      <c r="D146" s="33" t="s">
        <v>15</v>
      </c>
      <c r="E146" s="33" t="s">
        <v>16</v>
      </c>
      <c r="F146" s="13">
        <v>9</v>
      </c>
      <c r="G146" s="34">
        <v>78500</v>
      </c>
      <c r="H146" s="13">
        <v>5</v>
      </c>
      <c r="I146" s="13">
        <v>4</v>
      </c>
      <c r="J146" s="33" t="s">
        <v>17</v>
      </c>
      <c r="K146" s="13">
        <v>7</v>
      </c>
      <c r="L146" s="13">
        <v>1</v>
      </c>
      <c r="M146" s="33" t="s">
        <v>17</v>
      </c>
    </row>
    <row r="147" spans="1:13" x14ac:dyDescent="0.35">
      <c r="A147" s="33" t="s">
        <v>172</v>
      </c>
      <c r="B147" s="13">
        <v>40</v>
      </c>
      <c r="C147" s="33" t="s">
        <v>19</v>
      </c>
      <c r="D147" s="33" t="s">
        <v>30</v>
      </c>
      <c r="E147" s="33" t="s">
        <v>21</v>
      </c>
      <c r="F147" s="13">
        <v>11</v>
      </c>
      <c r="G147" s="34">
        <v>62400</v>
      </c>
      <c r="H147" s="13">
        <v>3</v>
      </c>
      <c r="I147" s="13">
        <v>3</v>
      </c>
      <c r="J147" s="33" t="s">
        <v>17</v>
      </c>
      <c r="K147" s="13">
        <v>6</v>
      </c>
      <c r="L147" s="13">
        <v>28</v>
      </c>
      <c r="M147" s="33" t="s">
        <v>17</v>
      </c>
    </row>
    <row r="148" spans="1:13" x14ac:dyDescent="0.35">
      <c r="A148" s="33" t="s">
        <v>173</v>
      </c>
      <c r="B148" s="13">
        <v>55</v>
      </c>
      <c r="C148" s="33" t="s">
        <v>14</v>
      </c>
      <c r="D148" s="33" t="s">
        <v>25</v>
      </c>
      <c r="E148" s="33" t="s">
        <v>16</v>
      </c>
      <c r="F148" s="13">
        <v>27</v>
      </c>
      <c r="G148" s="34">
        <v>99300</v>
      </c>
      <c r="H148" s="13">
        <v>4</v>
      </c>
      <c r="I148" s="13">
        <v>4</v>
      </c>
      <c r="J148" s="33" t="s">
        <v>32</v>
      </c>
      <c r="K148" s="13">
        <v>10</v>
      </c>
      <c r="L148" s="13">
        <v>40</v>
      </c>
      <c r="M148" s="33" t="s">
        <v>17</v>
      </c>
    </row>
    <row r="149" spans="1:13" x14ac:dyDescent="0.35">
      <c r="A149" s="33" t="s">
        <v>174</v>
      </c>
      <c r="B149" s="13">
        <v>54</v>
      </c>
      <c r="C149" s="33" t="s">
        <v>14</v>
      </c>
      <c r="D149" s="33" t="s">
        <v>25</v>
      </c>
      <c r="E149" s="33" t="s">
        <v>21</v>
      </c>
      <c r="F149" s="13">
        <v>31</v>
      </c>
      <c r="G149" s="34">
        <v>104700</v>
      </c>
      <c r="H149" s="13">
        <v>4</v>
      </c>
      <c r="I149" s="13">
        <v>4</v>
      </c>
      <c r="J149" s="33" t="s">
        <v>17</v>
      </c>
      <c r="K149" s="13">
        <v>4</v>
      </c>
      <c r="L149" s="13">
        <v>21</v>
      </c>
      <c r="M149" s="33" t="s">
        <v>17</v>
      </c>
    </row>
    <row r="150" spans="1:13" x14ac:dyDescent="0.35">
      <c r="A150" s="33" t="s">
        <v>175</v>
      </c>
      <c r="B150" s="13">
        <v>44</v>
      </c>
      <c r="C150" s="33" t="s">
        <v>14</v>
      </c>
      <c r="D150" s="33" t="s">
        <v>30</v>
      </c>
      <c r="E150" s="33" t="s">
        <v>21</v>
      </c>
      <c r="F150" s="13">
        <v>15</v>
      </c>
      <c r="G150" s="34">
        <v>70400</v>
      </c>
      <c r="H150" s="13">
        <v>5</v>
      </c>
      <c r="I150" s="13">
        <v>4</v>
      </c>
      <c r="J150" s="33" t="s">
        <v>17</v>
      </c>
      <c r="K150" s="13">
        <v>6</v>
      </c>
      <c r="L150" s="13">
        <v>19</v>
      </c>
      <c r="M150" s="33" t="s">
        <v>17</v>
      </c>
    </row>
    <row r="151" spans="1:13" x14ac:dyDescent="0.35">
      <c r="A151" s="33" t="s">
        <v>176</v>
      </c>
      <c r="B151" s="13">
        <v>49</v>
      </c>
      <c r="C151" s="33" t="s">
        <v>19</v>
      </c>
      <c r="D151" s="33" t="s">
        <v>15</v>
      </c>
      <c r="E151" s="33" t="s">
        <v>31</v>
      </c>
      <c r="F151" s="13">
        <v>26</v>
      </c>
      <c r="G151" s="34">
        <v>105300</v>
      </c>
      <c r="H151" s="13">
        <v>4</v>
      </c>
      <c r="I151" s="13">
        <v>3</v>
      </c>
      <c r="J151" s="33" t="s">
        <v>17</v>
      </c>
      <c r="K151" s="13">
        <v>8</v>
      </c>
      <c r="L151" s="13">
        <v>34</v>
      </c>
      <c r="M151" s="33" t="s">
        <v>17</v>
      </c>
    </row>
    <row r="152" spans="1:13" x14ac:dyDescent="0.35">
      <c r="A152" s="33" t="s">
        <v>177</v>
      </c>
      <c r="B152" s="13">
        <v>53</v>
      </c>
      <c r="C152" s="33" t="s">
        <v>19</v>
      </c>
      <c r="D152" s="33" t="s">
        <v>20</v>
      </c>
      <c r="E152" s="33" t="s">
        <v>21</v>
      </c>
      <c r="F152" s="13">
        <v>24</v>
      </c>
      <c r="G152" s="34">
        <v>81300</v>
      </c>
      <c r="H152" s="13">
        <v>4</v>
      </c>
      <c r="I152" s="13">
        <v>3</v>
      </c>
      <c r="J152" s="33" t="s">
        <v>17</v>
      </c>
      <c r="K152" s="13">
        <v>6</v>
      </c>
      <c r="L152" s="13">
        <v>8</v>
      </c>
      <c r="M152" s="33" t="s">
        <v>17</v>
      </c>
    </row>
    <row r="153" spans="1:13" x14ac:dyDescent="0.35">
      <c r="A153" s="33" t="s">
        <v>178</v>
      </c>
      <c r="B153" s="13">
        <v>28</v>
      </c>
      <c r="C153" s="33" t="s">
        <v>14</v>
      </c>
      <c r="D153" s="33" t="s">
        <v>27</v>
      </c>
      <c r="E153" s="33" t="s">
        <v>21</v>
      </c>
      <c r="F153" s="13">
        <v>6</v>
      </c>
      <c r="G153" s="34">
        <v>57900</v>
      </c>
      <c r="H153" s="13">
        <v>1</v>
      </c>
      <c r="I153" s="13">
        <v>3</v>
      </c>
      <c r="J153" s="33" t="s">
        <v>17</v>
      </c>
      <c r="K153" s="13">
        <v>1</v>
      </c>
      <c r="L153" s="13">
        <v>6</v>
      </c>
      <c r="M153" s="33" t="s">
        <v>17</v>
      </c>
    </row>
    <row r="154" spans="1:13" x14ac:dyDescent="0.35">
      <c r="A154" s="33" t="s">
        <v>179</v>
      </c>
      <c r="B154" s="13">
        <v>50</v>
      </c>
      <c r="C154" s="33" t="s">
        <v>19</v>
      </c>
      <c r="D154" s="33" t="s">
        <v>27</v>
      </c>
      <c r="E154" s="33" t="s">
        <v>21</v>
      </c>
      <c r="F154" s="13">
        <v>20</v>
      </c>
      <c r="G154" s="34">
        <v>76400</v>
      </c>
      <c r="H154" s="13">
        <v>3</v>
      </c>
      <c r="I154" s="13">
        <v>4</v>
      </c>
      <c r="J154" s="33" t="s">
        <v>32</v>
      </c>
      <c r="K154" s="13">
        <v>4</v>
      </c>
      <c r="L154" s="13">
        <v>35</v>
      </c>
      <c r="M154" s="33" t="s">
        <v>17</v>
      </c>
    </row>
    <row r="155" spans="1:13" x14ac:dyDescent="0.35">
      <c r="A155" s="33" t="s">
        <v>180</v>
      </c>
      <c r="B155" s="13">
        <v>29</v>
      </c>
      <c r="C155" s="33" t="s">
        <v>19</v>
      </c>
      <c r="D155" s="33" t="s">
        <v>25</v>
      </c>
      <c r="E155" s="33" t="s">
        <v>21</v>
      </c>
      <c r="F155" s="13">
        <v>0</v>
      </c>
      <c r="G155" s="34">
        <v>47400</v>
      </c>
      <c r="H155" s="13">
        <v>2</v>
      </c>
      <c r="I155" s="13">
        <v>3</v>
      </c>
      <c r="J155" s="33" t="s">
        <v>17</v>
      </c>
      <c r="K155" s="13">
        <v>9</v>
      </c>
      <c r="L155" s="13">
        <v>22</v>
      </c>
      <c r="M155" s="33" t="s">
        <v>17</v>
      </c>
    </row>
    <row r="156" spans="1:13" x14ac:dyDescent="0.35">
      <c r="A156" s="33" t="s">
        <v>181</v>
      </c>
      <c r="B156" s="13">
        <v>22</v>
      </c>
      <c r="C156" s="33" t="s">
        <v>19</v>
      </c>
      <c r="D156" s="33" t="s">
        <v>20</v>
      </c>
      <c r="E156" s="33" t="s">
        <v>21</v>
      </c>
      <c r="F156" s="13">
        <v>0</v>
      </c>
      <c r="G156" s="34">
        <v>30600</v>
      </c>
      <c r="H156" s="13">
        <v>4</v>
      </c>
      <c r="I156" s="13">
        <v>4</v>
      </c>
      <c r="J156" s="33" t="s">
        <v>17</v>
      </c>
      <c r="K156" s="13">
        <v>12</v>
      </c>
      <c r="L156" s="13">
        <v>40</v>
      </c>
      <c r="M156" s="33" t="s">
        <v>17</v>
      </c>
    </row>
    <row r="157" spans="1:13" x14ac:dyDescent="0.35">
      <c r="A157" s="33" t="s">
        <v>182</v>
      </c>
      <c r="B157" s="13">
        <v>24</v>
      </c>
      <c r="C157" s="33" t="s">
        <v>19</v>
      </c>
      <c r="D157" s="33" t="s">
        <v>27</v>
      </c>
      <c r="E157" s="33" t="s">
        <v>21</v>
      </c>
      <c r="F157" s="13">
        <v>0</v>
      </c>
      <c r="G157" s="34">
        <v>42100</v>
      </c>
      <c r="H157" s="13">
        <v>3</v>
      </c>
      <c r="I157" s="13">
        <v>3</v>
      </c>
      <c r="J157" s="33" t="s">
        <v>32</v>
      </c>
      <c r="K157" s="13">
        <v>12</v>
      </c>
      <c r="L157" s="13">
        <v>0</v>
      </c>
      <c r="M157" s="33" t="s">
        <v>32</v>
      </c>
    </row>
    <row r="158" spans="1:13" x14ac:dyDescent="0.35">
      <c r="A158" s="33" t="s">
        <v>183</v>
      </c>
      <c r="B158" s="13">
        <v>45</v>
      </c>
      <c r="C158" s="33" t="s">
        <v>19</v>
      </c>
      <c r="D158" s="33" t="s">
        <v>23</v>
      </c>
      <c r="E158" s="33" t="s">
        <v>21</v>
      </c>
      <c r="F158" s="13">
        <v>20</v>
      </c>
      <c r="G158" s="34">
        <v>87000</v>
      </c>
      <c r="H158" s="13">
        <v>4</v>
      </c>
      <c r="I158" s="13">
        <v>4</v>
      </c>
      <c r="J158" s="33" t="s">
        <v>32</v>
      </c>
      <c r="K158" s="13">
        <v>8</v>
      </c>
      <c r="L158" s="13">
        <v>10</v>
      </c>
      <c r="M158" s="33" t="s">
        <v>17</v>
      </c>
    </row>
    <row r="159" spans="1:13" x14ac:dyDescent="0.35">
      <c r="A159" s="33" t="s">
        <v>184</v>
      </c>
      <c r="B159" s="13">
        <v>44</v>
      </c>
      <c r="C159" s="33" t="s">
        <v>14</v>
      </c>
      <c r="D159" s="33" t="s">
        <v>20</v>
      </c>
      <c r="E159" s="33" t="s">
        <v>21</v>
      </c>
      <c r="F159" s="13">
        <v>22</v>
      </c>
      <c r="G159" s="34">
        <v>82600</v>
      </c>
      <c r="H159" s="13">
        <v>1</v>
      </c>
      <c r="I159" s="13">
        <v>3</v>
      </c>
      <c r="J159" s="33" t="s">
        <v>32</v>
      </c>
      <c r="K159" s="13">
        <v>3</v>
      </c>
      <c r="L159" s="13">
        <v>22</v>
      </c>
      <c r="M159" s="33" t="s">
        <v>17</v>
      </c>
    </row>
    <row r="160" spans="1:13" x14ac:dyDescent="0.35">
      <c r="A160" s="33" t="s">
        <v>185</v>
      </c>
      <c r="B160" s="13">
        <v>29</v>
      </c>
      <c r="C160" s="33" t="s">
        <v>14</v>
      </c>
      <c r="D160" s="33" t="s">
        <v>27</v>
      </c>
      <c r="E160" s="33" t="s">
        <v>21</v>
      </c>
      <c r="F160" s="13">
        <v>1</v>
      </c>
      <c r="G160" s="34">
        <v>44600</v>
      </c>
      <c r="H160" s="13">
        <v>2</v>
      </c>
      <c r="I160" s="13">
        <v>4</v>
      </c>
      <c r="J160" s="33" t="s">
        <v>17</v>
      </c>
      <c r="K160" s="13">
        <v>6</v>
      </c>
      <c r="L160" s="13">
        <v>32</v>
      </c>
      <c r="M160" s="33" t="s">
        <v>17</v>
      </c>
    </row>
    <row r="161" spans="1:13" x14ac:dyDescent="0.35">
      <c r="A161" s="33" t="s">
        <v>186</v>
      </c>
      <c r="B161" s="13">
        <v>58</v>
      </c>
      <c r="C161" s="33" t="s">
        <v>14</v>
      </c>
      <c r="D161" s="33" t="s">
        <v>23</v>
      </c>
      <c r="E161" s="33" t="s">
        <v>16</v>
      </c>
      <c r="F161" s="13">
        <v>32</v>
      </c>
      <c r="G161" s="34">
        <v>123400</v>
      </c>
      <c r="H161" s="13">
        <v>4</v>
      </c>
      <c r="I161" s="13">
        <v>5</v>
      </c>
      <c r="J161" s="33" t="s">
        <v>32</v>
      </c>
      <c r="K161" s="13">
        <v>14</v>
      </c>
      <c r="L161" s="13">
        <v>37</v>
      </c>
      <c r="M161" s="33" t="s">
        <v>17</v>
      </c>
    </row>
    <row r="162" spans="1:13" x14ac:dyDescent="0.35">
      <c r="A162" s="33" t="s">
        <v>187</v>
      </c>
      <c r="B162" s="13">
        <v>24</v>
      </c>
      <c r="C162" s="33" t="s">
        <v>19</v>
      </c>
      <c r="D162" s="33" t="s">
        <v>15</v>
      </c>
      <c r="E162" s="33" t="s">
        <v>31</v>
      </c>
      <c r="F162" s="13">
        <v>0</v>
      </c>
      <c r="G162" s="34">
        <v>49000</v>
      </c>
      <c r="H162" s="13">
        <v>1</v>
      </c>
      <c r="I162" s="13">
        <v>2</v>
      </c>
      <c r="J162" s="33" t="s">
        <v>17</v>
      </c>
      <c r="K162" s="13">
        <v>8</v>
      </c>
      <c r="L162" s="13">
        <v>24</v>
      </c>
      <c r="M162" s="33" t="s">
        <v>17</v>
      </c>
    </row>
    <row r="163" spans="1:13" x14ac:dyDescent="0.35">
      <c r="A163" s="33" t="s">
        <v>188</v>
      </c>
      <c r="B163" s="13">
        <v>54</v>
      </c>
      <c r="C163" s="33" t="s">
        <v>19</v>
      </c>
      <c r="D163" s="33" t="s">
        <v>25</v>
      </c>
      <c r="E163" s="33" t="s">
        <v>16</v>
      </c>
      <c r="F163" s="13">
        <v>29</v>
      </c>
      <c r="G163" s="34">
        <v>109300</v>
      </c>
      <c r="H163" s="13">
        <v>1</v>
      </c>
      <c r="I163" s="13">
        <v>3</v>
      </c>
      <c r="J163" s="33" t="s">
        <v>17</v>
      </c>
      <c r="K163" s="13">
        <v>5</v>
      </c>
      <c r="L163" s="13">
        <v>24</v>
      </c>
      <c r="M163" s="33" t="s">
        <v>17</v>
      </c>
    </row>
    <row r="164" spans="1:13" x14ac:dyDescent="0.35">
      <c r="A164" s="33" t="s">
        <v>189</v>
      </c>
      <c r="B164" s="13">
        <v>49</v>
      </c>
      <c r="C164" s="33" t="s">
        <v>14</v>
      </c>
      <c r="D164" s="33" t="s">
        <v>25</v>
      </c>
      <c r="E164" s="33" t="s">
        <v>16</v>
      </c>
      <c r="F164" s="13">
        <v>19</v>
      </c>
      <c r="G164" s="34">
        <v>73000</v>
      </c>
      <c r="H164" s="13">
        <v>1</v>
      </c>
      <c r="I164" s="13">
        <v>3</v>
      </c>
      <c r="J164" s="33" t="s">
        <v>17</v>
      </c>
      <c r="K164" s="13">
        <v>9</v>
      </c>
      <c r="L164" s="13">
        <v>17</v>
      </c>
      <c r="M164" s="33" t="s">
        <v>17</v>
      </c>
    </row>
    <row r="165" spans="1:13" x14ac:dyDescent="0.35">
      <c r="A165" s="33" t="s">
        <v>190</v>
      </c>
      <c r="B165" s="13">
        <v>29</v>
      </c>
      <c r="C165" s="33" t="s">
        <v>19</v>
      </c>
      <c r="D165" s="33" t="s">
        <v>25</v>
      </c>
      <c r="E165" s="33" t="s">
        <v>21</v>
      </c>
      <c r="F165" s="13">
        <v>7</v>
      </c>
      <c r="G165" s="34">
        <v>44900</v>
      </c>
      <c r="H165" s="13">
        <v>5</v>
      </c>
      <c r="I165" s="13">
        <v>4</v>
      </c>
      <c r="J165" s="33" t="s">
        <v>17</v>
      </c>
      <c r="K165" s="13">
        <v>1</v>
      </c>
      <c r="L165" s="13">
        <v>46</v>
      </c>
      <c r="M165" s="33" t="s">
        <v>17</v>
      </c>
    </row>
    <row r="166" spans="1:13" x14ac:dyDescent="0.35">
      <c r="A166" s="33" t="s">
        <v>191</v>
      </c>
      <c r="B166" s="13">
        <v>55</v>
      </c>
      <c r="C166" s="33" t="s">
        <v>14</v>
      </c>
      <c r="D166" s="33" t="s">
        <v>30</v>
      </c>
      <c r="E166" s="33" t="s">
        <v>16</v>
      </c>
      <c r="F166" s="13">
        <v>29</v>
      </c>
      <c r="G166" s="34">
        <v>114100</v>
      </c>
      <c r="H166" s="13">
        <v>4</v>
      </c>
      <c r="I166" s="13">
        <v>5</v>
      </c>
      <c r="J166" s="33" t="s">
        <v>17</v>
      </c>
      <c r="K166" s="13">
        <v>3</v>
      </c>
      <c r="L166" s="13">
        <v>14</v>
      </c>
      <c r="M166" s="33" t="s">
        <v>17</v>
      </c>
    </row>
    <row r="167" spans="1:13" x14ac:dyDescent="0.35">
      <c r="A167" s="33" t="s">
        <v>192</v>
      </c>
      <c r="B167" s="13">
        <v>56</v>
      </c>
      <c r="C167" s="33" t="s">
        <v>14</v>
      </c>
      <c r="D167" s="33" t="s">
        <v>20</v>
      </c>
      <c r="E167" s="33" t="s">
        <v>16</v>
      </c>
      <c r="F167" s="13">
        <v>31</v>
      </c>
      <c r="G167" s="34">
        <v>115200</v>
      </c>
      <c r="H167" s="13">
        <v>3</v>
      </c>
      <c r="I167" s="13">
        <v>4</v>
      </c>
      <c r="J167" s="33" t="s">
        <v>17</v>
      </c>
      <c r="K167" s="13">
        <v>2</v>
      </c>
      <c r="L167" s="13">
        <v>31</v>
      </c>
      <c r="M167" s="33" t="s">
        <v>17</v>
      </c>
    </row>
    <row r="168" spans="1:13" x14ac:dyDescent="0.35">
      <c r="A168" s="33" t="s">
        <v>193</v>
      </c>
      <c r="B168" s="13">
        <v>53</v>
      </c>
      <c r="C168" s="33" t="s">
        <v>14</v>
      </c>
      <c r="D168" s="33" t="s">
        <v>15</v>
      </c>
      <c r="E168" s="33" t="s">
        <v>31</v>
      </c>
      <c r="F168" s="13">
        <v>28</v>
      </c>
      <c r="G168" s="34">
        <v>111700</v>
      </c>
      <c r="H168" s="13">
        <v>3</v>
      </c>
      <c r="I168" s="13">
        <v>3</v>
      </c>
      <c r="J168" s="33" t="s">
        <v>32</v>
      </c>
      <c r="K168" s="13">
        <v>9</v>
      </c>
      <c r="L168" s="13">
        <v>10</v>
      </c>
      <c r="M168" s="33" t="s">
        <v>17</v>
      </c>
    </row>
    <row r="169" spans="1:13" x14ac:dyDescent="0.35">
      <c r="A169" s="33" t="s">
        <v>194</v>
      </c>
      <c r="B169" s="13">
        <v>45</v>
      </c>
      <c r="C169" s="33" t="s">
        <v>19</v>
      </c>
      <c r="D169" s="33" t="s">
        <v>27</v>
      </c>
      <c r="E169" s="33" t="s">
        <v>21</v>
      </c>
      <c r="F169" s="13">
        <v>24</v>
      </c>
      <c r="G169" s="34">
        <v>97200</v>
      </c>
      <c r="H169" s="13">
        <v>3</v>
      </c>
      <c r="I169" s="13">
        <v>4</v>
      </c>
      <c r="J169" s="33" t="s">
        <v>32</v>
      </c>
      <c r="K169" s="13">
        <v>10</v>
      </c>
      <c r="L169" s="13">
        <v>33</v>
      </c>
      <c r="M169" s="33" t="s">
        <v>17</v>
      </c>
    </row>
    <row r="170" spans="1:13" x14ac:dyDescent="0.35">
      <c r="A170" s="33" t="s">
        <v>195</v>
      </c>
      <c r="B170" s="13">
        <v>35</v>
      </c>
      <c r="C170" s="33" t="s">
        <v>19</v>
      </c>
      <c r="D170" s="33" t="s">
        <v>30</v>
      </c>
      <c r="E170" s="33" t="s">
        <v>16</v>
      </c>
      <c r="F170" s="13">
        <v>13</v>
      </c>
      <c r="G170" s="34">
        <v>80600</v>
      </c>
      <c r="H170" s="13">
        <v>4</v>
      </c>
      <c r="I170" s="13">
        <v>4</v>
      </c>
      <c r="J170" s="33" t="s">
        <v>32</v>
      </c>
      <c r="K170" s="13">
        <v>7</v>
      </c>
      <c r="L170" s="13">
        <v>15</v>
      </c>
      <c r="M170" s="33" t="s">
        <v>17</v>
      </c>
    </row>
    <row r="171" spans="1:13" x14ac:dyDescent="0.35">
      <c r="A171" s="33" t="s">
        <v>196</v>
      </c>
      <c r="B171" s="13">
        <v>53</v>
      </c>
      <c r="C171" s="33" t="s">
        <v>14</v>
      </c>
      <c r="D171" s="33" t="s">
        <v>25</v>
      </c>
      <c r="E171" s="33" t="s">
        <v>16</v>
      </c>
      <c r="F171" s="13">
        <v>25</v>
      </c>
      <c r="G171" s="34">
        <v>96200</v>
      </c>
      <c r="H171" s="13">
        <v>4</v>
      </c>
      <c r="I171" s="13">
        <v>4</v>
      </c>
      <c r="J171" s="33" t="s">
        <v>17</v>
      </c>
      <c r="K171" s="13">
        <v>3</v>
      </c>
      <c r="L171" s="13">
        <v>36</v>
      </c>
      <c r="M171" s="33" t="s">
        <v>17</v>
      </c>
    </row>
    <row r="172" spans="1:13" x14ac:dyDescent="0.35">
      <c r="A172" s="33" t="s">
        <v>197</v>
      </c>
      <c r="B172" s="13">
        <v>37</v>
      </c>
      <c r="C172" s="33" t="s">
        <v>14</v>
      </c>
      <c r="D172" s="33" t="s">
        <v>23</v>
      </c>
      <c r="E172" s="33" t="s">
        <v>21</v>
      </c>
      <c r="F172" s="13">
        <v>14</v>
      </c>
      <c r="G172" s="34">
        <v>67600</v>
      </c>
      <c r="H172" s="13">
        <v>2</v>
      </c>
      <c r="I172" s="13">
        <v>4</v>
      </c>
      <c r="J172" s="33" t="s">
        <v>32</v>
      </c>
      <c r="K172" s="13">
        <v>7</v>
      </c>
      <c r="L172" s="13">
        <v>28</v>
      </c>
      <c r="M172" s="33" t="s">
        <v>32</v>
      </c>
    </row>
    <row r="173" spans="1:13" x14ac:dyDescent="0.35">
      <c r="A173" s="33" t="s">
        <v>198</v>
      </c>
      <c r="B173" s="13">
        <v>25</v>
      </c>
      <c r="C173" s="33" t="s">
        <v>14</v>
      </c>
      <c r="D173" s="33" t="s">
        <v>30</v>
      </c>
      <c r="E173" s="33" t="s">
        <v>21</v>
      </c>
      <c r="F173" s="13">
        <v>0</v>
      </c>
      <c r="G173" s="34">
        <v>28800</v>
      </c>
      <c r="H173" s="13">
        <v>2</v>
      </c>
      <c r="I173" s="13">
        <v>3</v>
      </c>
      <c r="J173" s="33" t="s">
        <v>17</v>
      </c>
      <c r="K173" s="13">
        <v>4</v>
      </c>
      <c r="L173" s="13">
        <v>43</v>
      </c>
      <c r="M173" s="33" t="s">
        <v>17</v>
      </c>
    </row>
    <row r="174" spans="1:13" x14ac:dyDescent="0.35">
      <c r="A174" s="33" t="s">
        <v>199</v>
      </c>
      <c r="B174" s="13">
        <v>58</v>
      </c>
      <c r="C174" s="33" t="s">
        <v>14</v>
      </c>
      <c r="D174" s="33" t="s">
        <v>25</v>
      </c>
      <c r="E174" s="33" t="s">
        <v>21</v>
      </c>
      <c r="F174" s="13">
        <v>35</v>
      </c>
      <c r="G174" s="34">
        <v>104100</v>
      </c>
      <c r="H174" s="13">
        <v>2</v>
      </c>
      <c r="I174" s="13">
        <v>3</v>
      </c>
      <c r="J174" s="33" t="s">
        <v>32</v>
      </c>
      <c r="K174" s="13">
        <v>4</v>
      </c>
      <c r="L174" s="13">
        <v>19</v>
      </c>
      <c r="M174" s="33" t="s">
        <v>17</v>
      </c>
    </row>
    <row r="175" spans="1:13" x14ac:dyDescent="0.35">
      <c r="A175" s="33" t="s">
        <v>200</v>
      </c>
      <c r="B175" s="13">
        <v>42</v>
      </c>
      <c r="C175" s="33" t="s">
        <v>19</v>
      </c>
      <c r="D175" s="33" t="s">
        <v>27</v>
      </c>
      <c r="E175" s="33" t="s">
        <v>21</v>
      </c>
      <c r="F175" s="13">
        <v>14</v>
      </c>
      <c r="G175" s="34">
        <v>59300</v>
      </c>
      <c r="H175" s="13">
        <v>4</v>
      </c>
      <c r="I175" s="13">
        <v>3</v>
      </c>
      <c r="J175" s="33" t="s">
        <v>17</v>
      </c>
      <c r="K175" s="13">
        <v>7</v>
      </c>
      <c r="L175" s="13">
        <v>27</v>
      </c>
      <c r="M175" s="33" t="s">
        <v>17</v>
      </c>
    </row>
    <row r="176" spans="1:13" x14ac:dyDescent="0.35">
      <c r="A176" s="33" t="s">
        <v>201</v>
      </c>
      <c r="B176" s="13">
        <v>35</v>
      </c>
      <c r="C176" s="33" t="s">
        <v>19</v>
      </c>
      <c r="D176" s="33" t="s">
        <v>23</v>
      </c>
      <c r="E176" s="33" t="s">
        <v>16</v>
      </c>
      <c r="F176" s="13">
        <v>7</v>
      </c>
      <c r="G176" s="34">
        <v>52200</v>
      </c>
      <c r="H176" s="13">
        <v>4</v>
      </c>
      <c r="I176" s="13">
        <v>4</v>
      </c>
      <c r="J176" s="33" t="s">
        <v>32</v>
      </c>
      <c r="K176" s="13">
        <v>4</v>
      </c>
      <c r="L176" s="13">
        <v>18</v>
      </c>
      <c r="M176" s="33" t="s">
        <v>17</v>
      </c>
    </row>
    <row r="177" spans="1:13" x14ac:dyDescent="0.35">
      <c r="A177" s="33" t="s">
        <v>202</v>
      </c>
      <c r="B177" s="13">
        <v>52</v>
      </c>
      <c r="C177" s="33" t="s">
        <v>14</v>
      </c>
      <c r="D177" s="33" t="s">
        <v>27</v>
      </c>
      <c r="E177" s="33" t="s">
        <v>21</v>
      </c>
      <c r="F177" s="13">
        <v>30</v>
      </c>
      <c r="G177" s="34">
        <v>116900</v>
      </c>
      <c r="H177" s="13">
        <v>3</v>
      </c>
      <c r="I177" s="13">
        <v>4</v>
      </c>
      <c r="J177" s="33" t="s">
        <v>17</v>
      </c>
      <c r="K177" s="13">
        <v>0</v>
      </c>
      <c r="L177" s="13">
        <v>24</v>
      </c>
      <c r="M177" s="33" t="s">
        <v>17</v>
      </c>
    </row>
    <row r="178" spans="1:13" x14ac:dyDescent="0.35">
      <c r="A178" s="33" t="s">
        <v>203</v>
      </c>
      <c r="B178" s="13">
        <v>39</v>
      </c>
      <c r="C178" s="33" t="s">
        <v>14</v>
      </c>
      <c r="D178" s="33" t="s">
        <v>23</v>
      </c>
      <c r="E178" s="33" t="s">
        <v>21</v>
      </c>
      <c r="F178" s="13">
        <v>11</v>
      </c>
      <c r="G178" s="34">
        <v>49300</v>
      </c>
      <c r="H178" s="13">
        <v>1</v>
      </c>
      <c r="I178" s="13">
        <v>3</v>
      </c>
      <c r="J178" s="33" t="s">
        <v>32</v>
      </c>
      <c r="K178" s="13">
        <v>2</v>
      </c>
      <c r="L178" s="13">
        <v>23</v>
      </c>
      <c r="M178" s="33" t="s">
        <v>32</v>
      </c>
    </row>
    <row r="179" spans="1:13" x14ac:dyDescent="0.35">
      <c r="A179" s="33" t="s">
        <v>204</v>
      </c>
      <c r="B179" s="13">
        <v>28</v>
      </c>
      <c r="C179" s="33" t="s">
        <v>19</v>
      </c>
      <c r="D179" s="33" t="s">
        <v>15</v>
      </c>
      <c r="E179" s="33" t="s">
        <v>16</v>
      </c>
      <c r="F179" s="13">
        <v>7</v>
      </c>
      <c r="G179" s="34">
        <v>65300</v>
      </c>
      <c r="H179" s="13">
        <v>2</v>
      </c>
      <c r="I179" s="13">
        <v>2</v>
      </c>
      <c r="J179" s="33" t="s">
        <v>32</v>
      </c>
      <c r="K179" s="13">
        <v>1</v>
      </c>
      <c r="L179" s="13">
        <v>4</v>
      </c>
      <c r="M179" s="33" t="s">
        <v>32</v>
      </c>
    </row>
    <row r="180" spans="1:13" x14ac:dyDescent="0.35">
      <c r="A180" s="33" t="s">
        <v>205</v>
      </c>
      <c r="B180" s="13">
        <v>31</v>
      </c>
      <c r="C180" s="33" t="s">
        <v>19</v>
      </c>
      <c r="D180" s="33" t="s">
        <v>20</v>
      </c>
      <c r="E180" s="33" t="s">
        <v>31</v>
      </c>
      <c r="F180" s="13">
        <v>5</v>
      </c>
      <c r="G180" s="34">
        <v>37900</v>
      </c>
      <c r="H180" s="13">
        <v>5</v>
      </c>
      <c r="I180" s="13">
        <v>4</v>
      </c>
      <c r="J180" s="33" t="s">
        <v>17</v>
      </c>
      <c r="K180" s="13">
        <v>7</v>
      </c>
      <c r="L180" s="13">
        <v>10</v>
      </c>
      <c r="M180" s="33" t="s">
        <v>17</v>
      </c>
    </row>
    <row r="181" spans="1:13" x14ac:dyDescent="0.35">
      <c r="A181" s="33" t="s">
        <v>206</v>
      </c>
      <c r="B181" s="13">
        <v>28</v>
      </c>
      <c r="C181" s="33" t="s">
        <v>14</v>
      </c>
      <c r="D181" s="33" t="s">
        <v>27</v>
      </c>
      <c r="E181" s="33" t="s">
        <v>21</v>
      </c>
      <c r="F181" s="13">
        <v>0</v>
      </c>
      <c r="G181" s="34">
        <v>35800</v>
      </c>
      <c r="H181" s="13">
        <v>3</v>
      </c>
      <c r="I181" s="13">
        <v>4</v>
      </c>
      <c r="J181" s="33" t="s">
        <v>17</v>
      </c>
      <c r="K181" s="13">
        <v>7</v>
      </c>
      <c r="L181" s="13">
        <v>34</v>
      </c>
      <c r="M181" s="33" t="s">
        <v>17</v>
      </c>
    </row>
    <row r="182" spans="1:13" x14ac:dyDescent="0.35">
      <c r="A182" s="33" t="s">
        <v>207</v>
      </c>
      <c r="B182" s="13">
        <v>54</v>
      </c>
      <c r="C182" s="33" t="s">
        <v>14</v>
      </c>
      <c r="D182" s="33" t="s">
        <v>15</v>
      </c>
      <c r="E182" s="33" t="s">
        <v>16</v>
      </c>
      <c r="F182" s="13">
        <v>31</v>
      </c>
      <c r="G182" s="34">
        <v>121400</v>
      </c>
      <c r="H182" s="13">
        <v>4</v>
      </c>
      <c r="I182" s="13">
        <v>4</v>
      </c>
      <c r="J182" s="33" t="s">
        <v>32</v>
      </c>
      <c r="K182" s="13">
        <v>8</v>
      </c>
      <c r="L182" s="13">
        <v>25</v>
      </c>
      <c r="M182" s="33" t="s">
        <v>17</v>
      </c>
    </row>
    <row r="183" spans="1:13" x14ac:dyDescent="0.35">
      <c r="A183" s="33" t="s">
        <v>208</v>
      </c>
      <c r="B183" s="13">
        <v>44</v>
      </c>
      <c r="C183" s="33" t="s">
        <v>14</v>
      </c>
      <c r="D183" s="33" t="s">
        <v>30</v>
      </c>
      <c r="E183" s="33" t="s">
        <v>16</v>
      </c>
      <c r="F183" s="13">
        <v>16</v>
      </c>
      <c r="G183" s="34">
        <v>73300</v>
      </c>
      <c r="H183" s="13">
        <v>4</v>
      </c>
      <c r="I183" s="13">
        <v>3</v>
      </c>
      <c r="J183" s="33" t="s">
        <v>17</v>
      </c>
      <c r="K183" s="13">
        <v>8</v>
      </c>
      <c r="L183" s="13">
        <v>15</v>
      </c>
      <c r="M183" s="33" t="s">
        <v>17</v>
      </c>
    </row>
    <row r="184" spans="1:13" x14ac:dyDescent="0.35">
      <c r="A184" s="33" t="s">
        <v>209</v>
      </c>
      <c r="B184" s="13">
        <v>42</v>
      </c>
      <c r="C184" s="33" t="s">
        <v>19</v>
      </c>
      <c r="D184" s="33" t="s">
        <v>20</v>
      </c>
      <c r="E184" s="33" t="s">
        <v>21</v>
      </c>
      <c r="F184" s="13">
        <v>21</v>
      </c>
      <c r="G184" s="34">
        <v>89800</v>
      </c>
      <c r="H184" s="13">
        <v>3</v>
      </c>
      <c r="I184" s="13">
        <v>3</v>
      </c>
      <c r="J184" s="33" t="s">
        <v>32</v>
      </c>
      <c r="K184" s="13">
        <v>12</v>
      </c>
      <c r="L184" s="13">
        <v>13</v>
      </c>
      <c r="M184" s="33" t="s">
        <v>17</v>
      </c>
    </row>
    <row r="185" spans="1:13" x14ac:dyDescent="0.35">
      <c r="A185" s="33" t="s">
        <v>210</v>
      </c>
      <c r="B185" s="13">
        <v>40</v>
      </c>
      <c r="C185" s="33" t="s">
        <v>19</v>
      </c>
      <c r="D185" s="33" t="s">
        <v>20</v>
      </c>
      <c r="E185" s="33" t="s">
        <v>21</v>
      </c>
      <c r="F185" s="13">
        <v>11</v>
      </c>
      <c r="G185" s="34">
        <v>70900</v>
      </c>
      <c r="H185" s="13">
        <v>2</v>
      </c>
      <c r="I185" s="13">
        <v>3</v>
      </c>
      <c r="J185" s="33" t="s">
        <v>17</v>
      </c>
      <c r="K185" s="13">
        <v>4</v>
      </c>
      <c r="L185" s="13">
        <v>14</v>
      </c>
      <c r="M185" s="33" t="s">
        <v>17</v>
      </c>
    </row>
    <row r="186" spans="1:13" x14ac:dyDescent="0.35">
      <c r="A186" s="33" t="s">
        <v>211</v>
      </c>
      <c r="B186" s="13">
        <v>40</v>
      </c>
      <c r="C186" s="33" t="s">
        <v>19</v>
      </c>
      <c r="D186" s="33" t="s">
        <v>27</v>
      </c>
      <c r="E186" s="33" t="s">
        <v>21</v>
      </c>
      <c r="F186" s="13">
        <v>11</v>
      </c>
      <c r="G186" s="34">
        <v>48500</v>
      </c>
      <c r="H186" s="13">
        <v>2</v>
      </c>
      <c r="I186" s="13">
        <v>3</v>
      </c>
      <c r="J186" s="33" t="s">
        <v>17</v>
      </c>
      <c r="K186" s="13">
        <v>8</v>
      </c>
      <c r="L186" s="13">
        <v>23</v>
      </c>
      <c r="M186" s="33" t="s">
        <v>17</v>
      </c>
    </row>
    <row r="187" spans="1:13" x14ac:dyDescent="0.35">
      <c r="A187" s="33" t="s">
        <v>212</v>
      </c>
      <c r="B187" s="13">
        <v>57</v>
      </c>
      <c r="C187" s="33" t="s">
        <v>14</v>
      </c>
      <c r="D187" s="33" t="s">
        <v>23</v>
      </c>
      <c r="E187" s="33" t="s">
        <v>21</v>
      </c>
      <c r="F187" s="13">
        <v>32</v>
      </c>
      <c r="G187" s="34">
        <v>101600</v>
      </c>
      <c r="H187" s="13">
        <v>4</v>
      </c>
      <c r="I187" s="13">
        <v>2</v>
      </c>
      <c r="J187" s="33" t="s">
        <v>17</v>
      </c>
      <c r="K187" s="13">
        <v>0</v>
      </c>
      <c r="L187" s="13">
        <v>27</v>
      </c>
      <c r="M187" s="33" t="s">
        <v>17</v>
      </c>
    </row>
    <row r="188" spans="1:13" x14ac:dyDescent="0.35">
      <c r="A188" s="33" t="s">
        <v>213</v>
      </c>
      <c r="B188" s="13">
        <v>50</v>
      </c>
      <c r="C188" s="33" t="s">
        <v>14</v>
      </c>
      <c r="D188" s="33" t="s">
        <v>20</v>
      </c>
      <c r="E188" s="33" t="s">
        <v>21</v>
      </c>
      <c r="F188" s="13">
        <v>20</v>
      </c>
      <c r="G188" s="34">
        <v>80400</v>
      </c>
      <c r="H188" s="13">
        <v>4</v>
      </c>
      <c r="I188" s="13">
        <v>4</v>
      </c>
      <c r="J188" s="33" t="s">
        <v>17</v>
      </c>
      <c r="K188" s="13">
        <v>12</v>
      </c>
      <c r="L188" s="13">
        <v>2</v>
      </c>
      <c r="M188" s="33" t="s">
        <v>17</v>
      </c>
    </row>
    <row r="189" spans="1:13" x14ac:dyDescent="0.35">
      <c r="A189" s="33" t="s">
        <v>214</v>
      </c>
      <c r="B189" s="13">
        <v>39</v>
      </c>
      <c r="C189" s="33" t="s">
        <v>19</v>
      </c>
      <c r="D189" s="33" t="s">
        <v>25</v>
      </c>
      <c r="E189" s="33" t="s">
        <v>21</v>
      </c>
      <c r="F189" s="13">
        <v>15</v>
      </c>
      <c r="G189" s="34">
        <v>76900</v>
      </c>
      <c r="H189" s="13">
        <v>4</v>
      </c>
      <c r="I189" s="13">
        <v>5</v>
      </c>
      <c r="J189" s="33" t="s">
        <v>32</v>
      </c>
      <c r="K189" s="13">
        <v>3</v>
      </c>
      <c r="L189" s="13">
        <v>44</v>
      </c>
      <c r="M189" s="33" t="s">
        <v>17</v>
      </c>
    </row>
    <row r="190" spans="1:13" x14ac:dyDescent="0.35">
      <c r="A190" s="33" t="s">
        <v>215</v>
      </c>
      <c r="B190" s="13">
        <v>23</v>
      </c>
      <c r="C190" s="33" t="s">
        <v>19</v>
      </c>
      <c r="D190" s="33" t="s">
        <v>25</v>
      </c>
      <c r="E190" s="33" t="s">
        <v>21</v>
      </c>
      <c r="F190" s="13">
        <v>0</v>
      </c>
      <c r="G190" s="34">
        <v>32800</v>
      </c>
      <c r="H190" s="13">
        <v>3</v>
      </c>
      <c r="I190" s="13">
        <v>2</v>
      </c>
      <c r="J190" s="33" t="s">
        <v>17</v>
      </c>
      <c r="K190" s="13">
        <v>3</v>
      </c>
      <c r="L190" s="13">
        <v>38</v>
      </c>
      <c r="M190" s="33" t="s">
        <v>17</v>
      </c>
    </row>
    <row r="191" spans="1:13" x14ac:dyDescent="0.35">
      <c r="A191" s="33" t="s">
        <v>216</v>
      </c>
      <c r="B191" s="13">
        <v>22</v>
      </c>
      <c r="C191" s="33" t="s">
        <v>14</v>
      </c>
      <c r="D191" s="33" t="s">
        <v>27</v>
      </c>
      <c r="E191" s="33" t="s">
        <v>21</v>
      </c>
      <c r="F191" s="13">
        <v>0</v>
      </c>
      <c r="G191" s="34">
        <v>39900</v>
      </c>
      <c r="H191" s="13">
        <v>1</v>
      </c>
      <c r="I191" s="13">
        <v>4</v>
      </c>
      <c r="J191" s="33" t="s">
        <v>17</v>
      </c>
      <c r="K191" s="13">
        <v>4</v>
      </c>
      <c r="L191" s="13">
        <v>0</v>
      </c>
      <c r="M191" s="33" t="s">
        <v>32</v>
      </c>
    </row>
    <row r="192" spans="1:13" x14ac:dyDescent="0.35">
      <c r="A192" s="33" t="s">
        <v>217</v>
      </c>
      <c r="B192" s="13">
        <v>26</v>
      </c>
      <c r="C192" s="33" t="s">
        <v>19</v>
      </c>
      <c r="D192" s="33" t="s">
        <v>30</v>
      </c>
      <c r="E192" s="33" t="s">
        <v>31</v>
      </c>
      <c r="F192" s="13">
        <v>1</v>
      </c>
      <c r="G192" s="34">
        <v>30100</v>
      </c>
      <c r="H192" s="13">
        <v>5</v>
      </c>
      <c r="I192" s="13">
        <v>4</v>
      </c>
      <c r="J192" s="33" t="s">
        <v>17</v>
      </c>
      <c r="K192" s="13">
        <v>0</v>
      </c>
      <c r="L192" s="13">
        <v>40</v>
      </c>
      <c r="M192" s="33" t="s">
        <v>17</v>
      </c>
    </row>
    <row r="193" spans="1:13" x14ac:dyDescent="0.35">
      <c r="A193" s="33" t="s">
        <v>218</v>
      </c>
      <c r="B193" s="13">
        <v>41</v>
      </c>
      <c r="C193" s="33" t="s">
        <v>19</v>
      </c>
      <c r="D193" s="33" t="s">
        <v>20</v>
      </c>
      <c r="E193" s="33" t="s">
        <v>21</v>
      </c>
      <c r="F193" s="13">
        <v>11</v>
      </c>
      <c r="G193" s="34">
        <v>49500</v>
      </c>
      <c r="H193" s="13">
        <v>4</v>
      </c>
      <c r="I193" s="13">
        <v>5</v>
      </c>
      <c r="J193" s="33" t="s">
        <v>17</v>
      </c>
      <c r="K193" s="13">
        <v>6</v>
      </c>
      <c r="L193" s="13">
        <v>40</v>
      </c>
      <c r="M193" s="33" t="s">
        <v>17</v>
      </c>
    </row>
    <row r="194" spans="1:13" x14ac:dyDescent="0.35">
      <c r="A194" s="33" t="s">
        <v>219</v>
      </c>
      <c r="B194" s="13">
        <v>32</v>
      </c>
      <c r="C194" s="33" t="s">
        <v>14</v>
      </c>
      <c r="D194" s="33" t="s">
        <v>20</v>
      </c>
      <c r="E194" s="33" t="s">
        <v>21</v>
      </c>
      <c r="F194" s="13">
        <v>3</v>
      </c>
      <c r="G194" s="34">
        <v>52700</v>
      </c>
      <c r="H194" s="13">
        <v>3</v>
      </c>
      <c r="I194" s="13">
        <v>3</v>
      </c>
      <c r="J194" s="33" t="s">
        <v>32</v>
      </c>
      <c r="K194" s="13">
        <v>8</v>
      </c>
      <c r="L194" s="13">
        <v>22</v>
      </c>
      <c r="M194" s="33" t="s">
        <v>17</v>
      </c>
    </row>
    <row r="195" spans="1:13" x14ac:dyDescent="0.35">
      <c r="A195" s="33" t="s">
        <v>220</v>
      </c>
      <c r="B195" s="13">
        <v>23</v>
      </c>
      <c r="C195" s="33" t="s">
        <v>19</v>
      </c>
      <c r="D195" s="33" t="s">
        <v>25</v>
      </c>
      <c r="E195" s="33" t="s">
        <v>21</v>
      </c>
      <c r="F195" s="13">
        <v>0</v>
      </c>
      <c r="G195" s="34">
        <v>28000</v>
      </c>
      <c r="H195" s="13">
        <v>5</v>
      </c>
      <c r="I195" s="13">
        <v>4</v>
      </c>
      <c r="J195" s="33" t="s">
        <v>32</v>
      </c>
      <c r="K195" s="13">
        <v>7</v>
      </c>
      <c r="L195" s="13">
        <v>11</v>
      </c>
      <c r="M195" s="33" t="s">
        <v>32</v>
      </c>
    </row>
    <row r="196" spans="1:13" x14ac:dyDescent="0.35">
      <c r="A196" s="33" t="s">
        <v>221</v>
      </c>
      <c r="B196" s="13">
        <v>24</v>
      </c>
      <c r="C196" s="33" t="s">
        <v>14</v>
      </c>
      <c r="D196" s="33" t="s">
        <v>15</v>
      </c>
      <c r="E196" s="33" t="s">
        <v>21</v>
      </c>
      <c r="F196" s="13">
        <v>0</v>
      </c>
      <c r="G196" s="34">
        <v>61300</v>
      </c>
      <c r="H196" s="13">
        <v>4</v>
      </c>
      <c r="I196" s="13">
        <v>4</v>
      </c>
      <c r="J196" s="33" t="s">
        <v>17</v>
      </c>
      <c r="K196" s="13">
        <v>0</v>
      </c>
      <c r="L196" s="13">
        <v>39</v>
      </c>
      <c r="M196" s="33" t="s">
        <v>17</v>
      </c>
    </row>
    <row r="197" spans="1:13" x14ac:dyDescent="0.35">
      <c r="A197" s="33" t="s">
        <v>222</v>
      </c>
      <c r="B197" s="13">
        <v>44</v>
      </c>
      <c r="C197" s="33" t="s">
        <v>14</v>
      </c>
      <c r="D197" s="33" t="s">
        <v>15</v>
      </c>
      <c r="E197" s="33" t="s">
        <v>16</v>
      </c>
      <c r="F197" s="13">
        <v>14</v>
      </c>
      <c r="G197" s="34">
        <v>87900</v>
      </c>
      <c r="H197" s="13">
        <v>4</v>
      </c>
      <c r="I197" s="13">
        <v>3</v>
      </c>
      <c r="J197" s="33" t="s">
        <v>32</v>
      </c>
      <c r="K197" s="13">
        <v>15</v>
      </c>
      <c r="L197" s="13">
        <v>19</v>
      </c>
      <c r="M197" s="33" t="s">
        <v>17</v>
      </c>
    </row>
    <row r="198" spans="1:13" x14ac:dyDescent="0.35">
      <c r="A198" s="33" t="s">
        <v>223</v>
      </c>
      <c r="B198" s="13">
        <v>33</v>
      </c>
      <c r="C198" s="33" t="s">
        <v>14</v>
      </c>
      <c r="D198" s="33" t="s">
        <v>23</v>
      </c>
      <c r="E198" s="33" t="s">
        <v>16</v>
      </c>
      <c r="F198" s="13">
        <v>3</v>
      </c>
      <c r="G198" s="34">
        <v>54400</v>
      </c>
      <c r="H198" s="13">
        <v>4</v>
      </c>
      <c r="I198" s="13">
        <v>5</v>
      </c>
      <c r="J198" s="33" t="s">
        <v>32</v>
      </c>
      <c r="K198" s="13">
        <v>10</v>
      </c>
      <c r="L198" s="13">
        <v>34</v>
      </c>
      <c r="M198" s="33" t="s">
        <v>17</v>
      </c>
    </row>
    <row r="199" spans="1:13" x14ac:dyDescent="0.35">
      <c r="A199" s="33" t="s">
        <v>224</v>
      </c>
      <c r="B199" s="13">
        <v>41</v>
      </c>
      <c r="C199" s="33" t="s">
        <v>14</v>
      </c>
      <c r="D199" s="33" t="s">
        <v>20</v>
      </c>
      <c r="E199" s="33" t="s">
        <v>16</v>
      </c>
      <c r="F199" s="13">
        <v>16</v>
      </c>
      <c r="G199" s="34">
        <v>82200</v>
      </c>
      <c r="H199" s="13">
        <v>4</v>
      </c>
      <c r="I199" s="13">
        <v>3</v>
      </c>
      <c r="J199" s="33" t="s">
        <v>17</v>
      </c>
      <c r="K199" s="13">
        <v>17</v>
      </c>
      <c r="L199" s="13">
        <v>49</v>
      </c>
      <c r="M199" s="33" t="s">
        <v>17</v>
      </c>
    </row>
    <row r="200" spans="1:13" x14ac:dyDescent="0.35">
      <c r="A200" s="33" t="s">
        <v>225</v>
      </c>
      <c r="B200" s="13">
        <v>26</v>
      </c>
      <c r="C200" s="33" t="s">
        <v>14</v>
      </c>
      <c r="D200" s="33" t="s">
        <v>20</v>
      </c>
      <c r="E200" s="33" t="s">
        <v>16</v>
      </c>
      <c r="F200" s="13">
        <v>0</v>
      </c>
      <c r="G200" s="34">
        <v>41200</v>
      </c>
      <c r="H200" s="13">
        <v>4</v>
      </c>
      <c r="I200" s="13">
        <v>4</v>
      </c>
      <c r="J200" s="33" t="s">
        <v>32</v>
      </c>
      <c r="K200" s="13">
        <v>4</v>
      </c>
      <c r="L200" s="13">
        <v>30</v>
      </c>
      <c r="M200" s="33" t="s">
        <v>17</v>
      </c>
    </row>
    <row r="201" spans="1:13" x14ac:dyDescent="0.35">
      <c r="A201" s="33" t="s">
        <v>226</v>
      </c>
      <c r="B201" s="13">
        <v>58</v>
      </c>
      <c r="C201" s="33" t="s">
        <v>14</v>
      </c>
      <c r="D201" s="33" t="s">
        <v>20</v>
      </c>
      <c r="E201" s="33" t="s">
        <v>21</v>
      </c>
      <c r="F201" s="13">
        <v>36</v>
      </c>
      <c r="G201" s="34">
        <v>117900</v>
      </c>
      <c r="H201" s="13">
        <v>2</v>
      </c>
      <c r="I201" s="13">
        <v>3</v>
      </c>
      <c r="J201" s="33" t="s">
        <v>17</v>
      </c>
      <c r="K201" s="13">
        <v>10</v>
      </c>
      <c r="L201" s="13">
        <v>11</v>
      </c>
      <c r="M201" s="33" t="s">
        <v>17</v>
      </c>
    </row>
    <row r="202" spans="1:13" x14ac:dyDescent="0.35">
      <c r="A202" s="33" t="s">
        <v>227</v>
      </c>
      <c r="B202" s="13">
        <v>59</v>
      </c>
      <c r="C202" s="33" t="s">
        <v>14</v>
      </c>
      <c r="D202" s="33" t="s">
        <v>23</v>
      </c>
      <c r="E202" s="33" t="s">
        <v>21</v>
      </c>
      <c r="F202" s="13">
        <v>35</v>
      </c>
      <c r="G202" s="34">
        <v>111700</v>
      </c>
      <c r="H202" s="13">
        <v>3</v>
      </c>
      <c r="I202" s="13">
        <v>3</v>
      </c>
      <c r="J202" s="33" t="s">
        <v>17</v>
      </c>
      <c r="K202" s="13">
        <v>9</v>
      </c>
      <c r="L202" s="13">
        <v>18</v>
      </c>
      <c r="M202" s="33" t="s">
        <v>17</v>
      </c>
    </row>
    <row r="203" spans="1:13" x14ac:dyDescent="0.35">
      <c r="A203" s="33" t="s">
        <v>228</v>
      </c>
      <c r="B203" s="13">
        <v>51</v>
      </c>
      <c r="C203" s="33" t="s">
        <v>19</v>
      </c>
      <c r="D203" s="33" t="s">
        <v>30</v>
      </c>
      <c r="E203" s="33" t="s">
        <v>21</v>
      </c>
      <c r="F203" s="13">
        <v>29</v>
      </c>
      <c r="G203" s="34">
        <v>103700</v>
      </c>
      <c r="H203" s="13">
        <v>5</v>
      </c>
      <c r="I203" s="13">
        <v>5</v>
      </c>
      <c r="J203" s="33" t="s">
        <v>32</v>
      </c>
      <c r="K203" s="13">
        <v>6</v>
      </c>
      <c r="L203" s="13">
        <v>18</v>
      </c>
      <c r="M203" s="33" t="s">
        <v>17</v>
      </c>
    </row>
    <row r="204" spans="1:13" x14ac:dyDescent="0.35">
      <c r="A204" s="33" t="s">
        <v>229</v>
      </c>
      <c r="B204" s="13">
        <v>30</v>
      </c>
      <c r="C204" s="33" t="s">
        <v>14</v>
      </c>
      <c r="D204" s="33" t="s">
        <v>27</v>
      </c>
      <c r="E204" s="33" t="s">
        <v>16</v>
      </c>
      <c r="F204" s="13">
        <v>3</v>
      </c>
      <c r="G204" s="34">
        <v>53400</v>
      </c>
      <c r="H204" s="13">
        <v>2</v>
      </c>
      <c r="I204" s="13">
        <v>4</v>
      </c>
      <c r="J204" s="33" t="s">
        <v>17</v>
      </c>
      <c r="K204" s="13">
        <v>12</v>
      </c>
      <c r="L204" s="13">
        <v>32</v>
      </c>
      <c r="M204" s="33" t="s">
        <v>17</v>
      </c>
    </row>
    <row r="205" spans="1:13" x14ac:dyDescent="0.35">
      <c r="A205" s="33" t="s">
        <v>230</v>
      </c>
      <c r="B205" s="13">
        <v>55</v>
      </c>
      <c r="C205" s="33" t="s">
        <v>14</v>
      </c>
      <c r="D205" s="33" t="s">
        <v>20</v>
      </c>
      <c r="E205" s="33" t="s">
        <v>16</v>
      </c>
      <c r="F205" s="13">
        <v>33</v>
      </c>
      <c r="G205" s="34">
        <v>108900</v>
      </c>
      <c r="H205" s="13">
        <v>3</v>
      </c>
      <c r="I205" s="13">
        <v>4</v>
      </c>
      <c r="J205" s="33" t="s">
        <v>32</v>
      </c>
      <c r="K205" s="13">
        <v>6</v>
      </c>
      <c r="L205" s="13">
        <v>17</v>
      </c>
      <c r="M205" s="33" t="s">
        <v>17</v>
      </c>
    </row>
    <row r="206" spans="1:13" x14ac:dyDescent="0.35">
      <c r="A206" s="33" t="s">
        <v>231</v>
      </c>
      <c r="B206" s="13">
        <v>56</v>
      </c>
      <c r="C206" s="33" t="s">
        <v>19</v>
      </c>
      <c r="D206" s="33" t="s">
        <v>25</v>
      </c>
      <c r="E206" s="33" t="s">
        <v>21</v>
      </c>
      <c r="F206" s="13">
        <v>35</v>
      </c>
      <c r="G206" s="34">
        <v>106900</v>
      </c>
      <c r="H206" s="13">
        <v>3</v>
      </c>
      <c r="I206" s="13">
        <v>2</v>
      </c>
      <c r="J206" s="33" t="s">
        <v>32</v>
      </c>
      <c r="K206" s="13">
        <v>6</v>
      </c>
      <c r="L206" s="13">
        <v>16</v>
      </c>
      <c r="M206" s="33" t="s">
        <v>17</v>
      </c>
    </row>
    <row r="207" spans="1:13" x14ac:dyDescent="0.35">
      <c r="A207" s="33" t="s">
        <v>232</v>
      </c>
      <c r="B207" s="13">
        <v>43</v>
      </c>
      <c r="C207" s="33" t="s">
        <v>19</v>
      </c>
      <c r="D207" s="33" t="s">
        <v>30</v>
      </c>
      <c r="E207" s="33" t="s">
        <v>21</v>
      </c>
      <c r="F207" s="13">
        <v>14</v>
      </c>
      <c r="G207" s="34">
        <v>59900</v>
      </c>
      <c r="H207" s="13">
        <v>3</v>
      </c>
      <c r="I207" s="13">
        <v>4</v>
      </c>
      <c r="J207" s="33" t="s">
        <v>17</v>
      </c>
      <c r="K207" s="13">
        <v>0</v>
      </c>
      <c r="L207" s="13">
        <v>12</v>
      </c>
      <c r="M207" s="33" t="s">
        <v>17</v>
      </c>
    </row>
    <row r="208" spans="1:13" x14ac:dyDescent="0.35">
      <c r="A208" s="33" t="s">
        <v>233</v>
      </c>
      <c r="B208" s="13">
        <v>45</v>
      </c>
      <c r="C208" s="33" t="s">
        <v>19</v>
      </c>
      <c r="D208" s="33" t="s">
        <v>30</v>
      </c>
      <c r="E208" s="33" t="s">
        <v>21</v>
      </c>
      <c r="F208" s="13">
        <v>24</v>
      </c>
      <c r="G208" s="34">
        <v>95600</v>
      </c>
      <c r="H208" s="13">
        <v>4</v>
      </c>
      <c r="I208" s="13">
        <v>4</v>
      </c>
      <c r="J208" s="33" t="s">
        <v>32</v>
      </c>
      <c r="K208" s="13">
        <v>9</v>
      </c>
      <c r="L208" s="13">
        <v>25</v>
      </c>
      <c r="M208" s="33" t="s">
        <v>17</v>
      </c>
    </row>
    <row r="209" spans="1:13" x14ac:dyDescent="0.35">
      <c r="A209" s="33" t="s">
        <v>234</v>
      </c>
      <c r="B209" s="13">
        <v>38</v>
      </c>
      <c r="C209" s="33" t="s">
        <v>14</v>
      </c>
      <c r="D209" s="33" t="s">
        <v>23</v>
      </c>
      <c r="E209" s="33" t="s">
        <v>21</v>
      </c>
      <c r="F209" s="13">
        <v>10</v>
      </c>
      <c r="G209" s="34">
        <v>53700</v>
      </c>
      <c r="H209" s="13">
        <v>5</v>
      </c>
      <c r="I209" s="13">
        <v>3</v>
      </c>
      <c r="J209" s="33" t="s">
        <v>17</v>
      </c>
      <c r="K209" s="13">
        <v>1</v>
      </c>
      <c r="L209" s="13">
        <v>24</v>
      </c>
      <c r="M209" s="33" t="s">
        <v>17</v>
      </c>
    </row>
    <row r="210" spans="1:13" x14ac:dyDescent="0.35">
      <c r="A210" s="33" t="s">
        <v>235</v>
      </c>
      <c r="B210" s="13">
        <v>31</v>
      </c>
      <c r="C210" s="33" t="s">
        <v>19</v>
      </c>
      <c r="D210" s="33" t="s">
        <v>30</v>
      </c>
      <c r="E210" s="33" t="s">
        <v>16</v>
      </c>
      <c r="F210" s="13">
        <v>9</v>
      </c>
      <c r="G210" s="34">
        <v>49400</v>
      </c>
      <c r="H210" s="13">
        <v>3</v>
      </c>
      <c r="I210" s="13">
        <v>4</v>
      </c>
      <c r="J210" s="33" t="s">
        <v>17</v>
      </c>
      <c r="K210" s="13">
        <v>4</v>
      </c>
      <c r="L210" s="13">
        <v>0</v>
      </c>
      <c r="M210" s="33" t="s">
        <v>17</v>
      </c>
    </row>
    <row r="211" spans="1:13" x14ac:dyDescent="0.35">
      <c r="A211" s="33" t="s">
        <v>236</v>
      </c>
      <c r="B211" s="13">
        <v>51</v>
      </c>
      <c r="C211" s="33" t="s">
        <v>14</v>
      </c>
      <c r="D211" s="33" t="s">
        <v>27</v>
      </c>
      <c r="E211" s="33" t="s">
        <v>16</v>
      </c>
      <c r="F211" s="13">
        <v>23</v>
      </c>
      <c r="G211" s="34">
        <v>100400</v>
      </c>
      <c r="H211" s="13">
        <v>2</v>
      </c>
      <c r="I211" s="13">
        <v>4</v>
      </c>
      <c r="J211" s="33" t="s">
        <v>32</v>
      </c>
      <c r="K211" s="13">
        <v>3</v>
      </c>
      <c r="L211" s="13">
        <v>30</v>
      </c>
      <c r="M211" s="33" t="s">
        <v>17</v>
      </c>
    </row>
    <row r="212" spans="1:13" x14ac:dyDescent="0.35">
      <c r="A212" s="33" t="s">
        <v>237</v>
      </c>
      <c r="B212" s="13">
        <v>44</v>
      </c>
      <c r="C212" s="33" t="s">
        <v>14</v>
      </c>
      <c r="D212" s="33" t="s">
        <v>25</v>
      </c>
      <c r="E212" s="33" t="s">
        <v>21</v>
      </c>
      <c r="F212" s="13">
        <v>21</v>
      </c>
      <c r="G212" s="34">
        <v>92800</v>
      </c>
      <c r="H212" s="13">
        <v>2</v>
      </c>
      <c r="I212" s="13">
        <v>2</v>
      </c>
      <c r="J212" s="33" t="s">
        <v>32</v>
      </c>
      <c r="K212" s="13">
        <v>6</v>
      </c>
      <c r="L212" s="13">
        <v>21</v>
      </c>
      <c r="M212" s="33" t="s">
        <v>17</v>
      </c>
    </row>
    <row r="213" spans="1:13" x14ac:dyDescent="0.35">
      <c r="A213" s="33" t="s">
        <v>238</v>
      </c>
      <c r="B213" s="13">
        <v>53</v>
      </c>
      <c r="C213" s="33" t="s">
        <v>14</v>
      </c>
      <c r="D213" s="33" t="s">
        <v>23</v>
      </c>
      <c r="E213" s="33" t="s">
        <v>41</v>
      </c>
      <c r="F213" s="13">
        <v>27</v>
      </c>
      <c r="G213" s="34">
        <v>114800</v>
      </c>
      <c r="H213" s="13">
        <v>5</v>
      </c>
      <c r="I213" s="13">
        <v>5</v>
      </c>
      <c r="J213" s="33" t="s">
        <v>17</v>
      </c>
      <c r="K213" s="13">
        <v>8</v>
      </c>
      <c r="L213" s="13">
        <v>18</v>
      </c>
      <c r="M213" s="33" t="s">
        <v>17</v>
      </c>
    </row>
    <row r="214" spans="1:13" x14ac:dyDescent="0.35">
      <c r="A214" s="33" t="s">
        <v>239</v>
      </c>
      <c r="B214" s="13">
        <v>38</v>
      </c>
      <c r="C214" s="33" t="s">
        <v>14</v>
      </c>
      <c r="D214" s="33" t="s">
        <v>23</v>
      </c>
      <c r="E214" s="33" t="s">
        <v>16</v>
      </c>
      <c r="F214" s="13">
        <v>15</v>
      </c>
      <c r="G214" s="34">
        <v>71800</v>
      </c>
      <c r="H214" s="13">
        <v>4</v>
      </c>
      <c r="I214" s="13">
        <v>4</v>
      </c>
      <c r="J214" s="33" t="s">
        <v>17</v>
      </c>
      <c r="K214" s="13">
        <v>6</v>
      </c>
      <c r="L214" s="13">
        <v>51</v>
      </c>
      <c r="M214" s="33" t="s">
        <v>17</v>
      </c>
    </row>
    <row r="215" spans="1:13" x14ac:dyDescent="0.35">
      <c r="A215" s="33" t="s">
        <v>240</v>
      </c>
      <c r="B215" s="13">
        <v>38</v>
      </c>
      <c r="C215" s="33" t="s">
        <v>19</v>
      </c>
      <c r="D215" s="33" t="s">
        <v>27</v>
      </c>
      <c r="E215" s="33" t="s">
        <v>21</v>
      </c>
      <c r="F215" s="13">
        <v>11</v>
      </c>
      <c r="G215" s="34">
        <v>53100</v>
      </c>
      <c r="H215" s="13">
        <v>3</v>
      </c>
      <c r="I215" s="13">
        <v>4</v>
      </c>
      <c r="J215" s="33" t="s">
        <v>32</v>
      </c>
      <c r="K215" s="13">
        <v>10</v>
      </c>
      <c r="L215" s="13">
        <v>39</v>
      </c>
      <c r="M215" s="33" t="s">
        <v>17</v>
      </c>
    </row>
    <row r="216" spans="1:13" x14ac:dyDescent="0.35">
      <c r="A216" s="33" t="s">
        <v>241</v>
      </c>
      <c r="B216" s="13">
        <v>35</v>
      </c>
      <c r="C216" s="33" t="s">
        <v>19</v>
      </c>
      <c r="D216" s="33" t="s">
        <v>23</v>
      </c>
      <c r="E216" s="33" t="s">
        <v>21</v>
      </c>
      <c r="F216" s="13">
        <v>5</v>
      </c>
      <c r="G216" s="34">
        <v>46100</v>
      </c>
      <c r="H216" s="13">
        <v>4</v>
      </c>
      <c r="I216" s="13">
        <v>3</v>
      </c>
      <c r="J216" s="33" t="s">
        <v>32</v>
      </c>
      <c r="K216" s="13">
        <v>13</v>
      </c>
      <c r="L216" s="13">
        <v>9</v>
      </c>
      <c r="M216" s="33" t="s">
        <v>17</v>
      </c>
    </row>
    <row r="217" spans="1:13" x14ac:dyDescent="0.35">
      <c r="A217" s="33" t="s">
        <v>242</v>
      </c>
      <c r="B217" s="13">
        <v>30</v>
      </c>
      <c r="C217" s="33" t="s">
        <v>14</v>
      </c>
      <c r="D217" s="33" t="s">
        <v>27</v>
      </c>
      <c r="E217" s="33" t="s">
        <v>21</v>
      </c>
      <c r="F217" s="13">
        <v>1</v>
      </c>
      <c r="G217" s="34">
        <v>41100</v>
      </c>
      <c r="H217" s="13">
        <v>5</v>
      </c>
      <c r="I217" s="13">
        <v>4</v>
      </c>
      <c r="J217" s="33" t="s">
        <v>32</v>
      </c>
      <c r="K217" s="13">
        <v>6</v>
      </c>
      <c r="L217" s="13">
        <v>37</v>
      </c>
      <c r="M217" s="33" t="s">
        <v>17</v>
      </c>
    </row>
    <row r="218" spans="1:13" x14ac:dyDescent="0.35">
      <c r="A218" s="33" t="s">
        <v>243</v>
      </c>
      <c r="B218" s="13">
        <v>23</v>
      </c>
      <c r="C218" s="33" t="s">
        <v>14</v>
      </c>
      <c r="D218" s="33" t="s">
        <v>15</v>
      </c>
      <c r="E218" s="33" t="s">
        <v>21</v>
      </c>
      <c r="F218" s="13">
        <v>1</v>
      </c>
      <c r="G218" s="34">
        <v>40400</v>
      </c>
      <c r="H218" s="13">
        <v>4</v>
      </c>
      <c r="I218" s="13">
        <v>3</v>
      </c>
      <c r="J218" s="33" t="s">
        <v>17</v>
      </c>
      <c r="K218" s="13">
        <v>4</v>
      </c>
      <c r="L218" s="13">
        <v>37</v>
      </c>
      <c r="M218" s="33" t="s">
        <v>17</v>
      </c>
    </row>
    <row r="219" spans="1:13" x14ac:dyDescent="0.35">
      <c r="A219" s="33" t="s">
        <v>244</v>
      </c>
      <c r="B219" s="13">
        <v>46</v>
      </c>
      <c r="C219" s="33" t="s">
        <v>14</v>
      </c>
      <c r="D219" s="33" t="s">
        <v>23</v>
      </c>
      <c r="E219" s="33" t="s">
        <v>21</v>
      </c>
      <c r="F219" s="13">
        <v>21</v>
      </c>
      <c r="G219" s="34">
        <v>86100</v>
      </c>
      <c r="H219" s="13">
        <v>5</v>
      </c>
      <c r="I219" s="13">
        <v>3</v>
      </c>
      <c r="J219" s="33" t="s">
        <v>17</v>
      </c>
      <c r="K219" s="13">
        <v>10</v>
      </c>
      <c r="L219" s="13">
        <v>24</v>
      </c>
      <c r="M219" s="33" t="s">
        <v>17</v>
      </c>
    </row>
    <row r="220" spans="1:13" x14ac:dyDescent="0.35">
      <c r="A220" s="33" t="s">
        <v>245</v>
      </c>
      <c r="B220" s="13">
        <v>60</v>
      </c>
      <c r="C220" s="33" t="s">
        <v>19</v>
      </c>
      <c r="D220" s="33" t="s">
        <v>23</v>
      </c>
      <c r="E220" s="33" t="s">
        <v>21</v>
      </c>
      <c r="F220" s="13">
        <v>34</v>
      </c>
      <c r="G220" s="34">
        <v>123700</v>
      </c>
      <c r="H220" s="13">
        <v>3</v>
      </c>
      <c r="I220" s="13">
        <v>4</v>
      </c>
      <c r="J220" s="33" t="s">
        <v>17</v>
      </c>
      <c r="K220" s="13">
        <v>10</v>
      </c>
      <c r="L220" s="13">
        <v>31</v>
      </c>
      <c r="M220" s="33" t="s">
        <v>17</v>
      </c>
    </row>
    <row r="221" spans="1:13" x14ac:dyDescent="0.35">
      <c r="A221" s="33" t="s">
        <v>246</v>
      </c>
      <c r="B221" s="13">
        <v>30</v>
      </c>
      <c r="C221" s="33" t="s">
        <v>14</v>
      </c>
      <c r="D221" s="33" t="s">
        <v>20</v>
      </c>
      <c r="E221" s="33" t="s">
        <v>21</v>
      </c>
      <c r="F221" s="13">
        <v>6</v>
      </c>
      <c r="G221" s="34">
        <v>50800</v>
      </c>
      <c r="H221" s="13">
        <v>4</v>
      </c>
      <c r="I221" s="13">
        <v>5</v>
      </c>
      <c r="J221" s="33" t="s">
        <v>32</v>
      </c>
      <c r="K221" s="13">
        <v>10</v>
      </c>
      <c r="L221" s="13">
        <v>31</v>
      </c>
      <c r="M221" s="33" t="s">
        <v>17</v>
      </c>
    </row>
    <row r="222" spans="1:13" x14ac:dyDescent="0.35">
      <c r="A222" s="33" t="s">
        <v>247</v>
      </c>
      <c r="B222" s="13">
        <v>43</v>
      </c>
      <c r="C222" s="33" t="s">
        <v>14</v>
      </c>
      <c r="D222" s="33" t="s">
        <v>23</v>
      </c>
      <c r="E222" s="33" t="s">
        <v>21</v>
      </c>
      <c r="F222" s="13">
        <v>19</v>
      </c>
      <c r="G222" s="34">
        <v>78900</v>
      </c>
      <c r="H222" s="13">
        <v>3</v>
      </c>
      <c r="I222" s="13">
        <v>4</v>
      </c>
      <c r="J222" s="33" t="s">
        <v>17</v>
      </c>
      <c r="K222" s="13">
        <v>2</v>
      </c>
      <c r="L222" s="13">
        <v>2</v>
      </c>
      <c r="M222" s="33" t="s">
        <v>17</v>
      </c>
    </row>
    <row r="223" spans="1:13" x14ac:dyDescent="0.35">
      <c r="A223" s="33" t="s">
        <v>248</v>
      </c>
      <c r="B223" s="13">
        <v>25</v>
      </c>
      <c r="C223" s="33" t="s">
        <v>19</v>
      </c>
      <c r="D223" s="33" t="s">
        <v>25</v>
      </c>
      <c r="E223" s="33" t="s">
        <v>16</v>
      </c>
      <c r="F223" s="13">
        <v>1</v>
      </c>
      <c r="G223" s="34">
        <v>38600</v>
      </c>
      <c r="H223" s="13">
        <v>4</v>
      </c>
      <c r="I223" s="13">
        <v>4</v>
      </c>
      <c r="J223" s="33" t="s">
        <v>17</v>
      </c>
      <c r="K223" s="13">
        <v>8</v>
      </c>
      <c r="L223" s="13">
        <v>25</v>
      </c>
      <c r="M223" s="33" t="s">
        <v>17</v>
      </c>
    </row>
    <row r="224" spans="1:13" x14ac:dyDescent="0.35">
      <c r="A224" s="33" t="s">
        <v>249</v>
      </c>
      <c r="B224" s="13">
        <v>47</v>
      </c>
      <c r="C224" s="33" t="s">
        <v>19</v>
      </c>
      <c r="D224" s="33" t="s">
        <v>30</v>
      </c>
      <c r="E224" s="33" t="s">
        <v>21</v>
      </c>
      <c r="F224" s="13">
        <v>25</v>
      </c>
      <c r="G224" s="34">
        <v>100800</v>
      </c>
      <c r="H224" s="13">
        <v>4</v>
      </c>
      <c r="I224" s="13">
        <v>4</v>
      </c>
      <c r="J224" s="33" t="s">
        <v>32</v>
      </c>
      <c r="K224" s="13">
        <v>8</v>
      </c>
      <c r="L224" s="13">
        <v>24</v>
      </c>
      <c r="M224" s="33" t="s">
        <v>17</v>
      </c>
    </row>
    <row r="225" spans="1:13" x14ac:dyDescent="0.35">
      <c r="A225" s="33" t="s">
        <v>250</v>
      </c>
      <c r="B225" s="13">
        <v>50</v>
      </c>
      <c r="C225" s="33" t="s">
        <v>14</v>
      </c>
      <c r="D225" s="33" t="s">
        <v>15</v>
      </c>
      <c r="E225" s="33" t="s">
        <v>21</v>
      </c>
      <c r="F225" s="13">
        <v>26</v>
      </c>
      <c r="G225" s="34">
        <v>101700</v>
      </c>
      <c r="H225" s="13">
        <v>4</v>
      </c>
      <c r="I225" s="13">
        <v>3</v>
      </c>
      <c r="J225" s="33" t="s">
        <v>17</v>
      </c>
      <c r="K225" s="13">
        <v>10</v>
      </c>
      <c r="L225" s="13">
        <v>39</v>
      </c>
      <c r="M225" s="33" t="s">
        <v>17</v>
      </c>
    </row>
    <row r="226" spans="1:13" x14ac:dyDescent="0.35">
      <c r="A226" s="33" t="s">
        <v>251</v>
      </c>
      <c r="B226" s="13">
        <v>55</v>
      </c>
      <c r="C226" s="33" t="s">
        <v>19</v>
      </c>
      <c r="D226" s="33" t="s">
        <v>15</v>
      </c>
      <c r="E226" s="33" t="s">
        <v>21</v>
      </c>
      <c r="F226" s="13">
        <v>34</v>
      </c>
      <c r="G226" s="34">
        <v>115700</v>
      </c>
      <c r="H226" s="13">
        <v>4</v>
      </c>
      <c r="I226" s="13">
        <v>4</v>
      </c>
      <c r="J226" s="33" t="s">
        <v>32</v>
      </c>
      <c r="K226" s="13">
        <v>5</v>
      </c>
      <c r="L226" s="13">
        <v>31</v>
      </c>
      <c r="M226" s="33" t="s">
        <v>17</v>
      </c>
    </row>
    <row r="227" spans="1:13" x14ac:dyDescent="0.35">
      <c r="A227" s="33" t="s">
        <v>252</v>
      </c>
      <c r="B227" s="13">
        <v>44</v>
      </c>
      <c r="C227" s="33" t="s">
        <v>19</v>
      </c>
      <c r="D227" s="33" t="s">
        <v>27</v>
      </c>
      <c r="E227" s="33" t="s">
        <v>41</v>
      </c>
      <c r="F227" s="13">
        <v>18</v>
      </c>
      <c r="G227" s="34">
        <v>94000</v>
      </c>
      <c r="H227" s="13">
        <v>2</v>
      </c>
      <c r="I227" s="13">
        <v>3</v>
      </c>
      <c r="J227" s="33" t="s">
        <v>32</v>
      </c>
      <c r="K227" s="13">
        <v>1</v>
      </c>
      <c r="L227" s="13">
        <v>18</v>
      </c>
      <c r="M227" s="33" t="s">
        <v>17</v>
      </c>
    </row>
    <row r="228" spans="1:13" x14ac:dyDescent="0.35">
      <c r="A228" s="33" t="s">
        <v>253</v>
      </c>
      <c r="B228" s="13">
        <v>58</v>
      </c>
      <c r="C228" s="33" t="s">
        <v>14</v>
      </c>
      <c r="D228" s="33" t="s">
        <v>20</v>
      </c>
      <c r="E228" s="33" t="s">
        <v>21</v>
      </c>
      <c r="F228" s="13">
        <v>37</v>
      </c>
      <c r="G228" s="34">
        <v>120700</v>
      </c>
      <c r="H228" s="13">
        <v>4</v>
      </c>
      <c r="I228" s="13">
        <v>4</v>
      </c>
      <c r="J228" s="33" t="s">
        <v>32</v>
      </c>
      <c r="K228" s="13">
        <v>10</v>
      </c>
      <c r="L228" s="13">
        <v>26</v>
      </c>
      <c r="M228" s="33" t="s">
        <v>17</v>
      </c>
    </row>
    <row r="229" spans="1:13" x14ac:dyDescent="0.35">
      <c r="A229" s="33" t="s">
        <v>254</v>
      </c>
      <c r="B229" s="13">
        <v>32</v>
      </c>
      <c r="C229" s="33" t="s">
        <v>19</v>
      </c>
      <c r="D229" s="33" t="s">
        <v>15</v>
      </c>
      <c r="E229" s="33" t="s">
        <v>21</v>
      </c>
      <c r="F229" s="13">
        <v>2</v>
      </c>
      <c r="G229" s="34">
        <v>50400</v>
      </c>
      <c r="H229" s="13">
        <v>5</v>
      </c>
      <c r="I229" s="13">
        <v>5</v>
      </c>
      <c r="J229" s="33" t="s">
        <v>17</v>
      </c>
      <c r="K229" s="13">
        <v>0</v>
      </c>
      <c r="L229" s="13">
        <v>39</v>
      </c>
      <c r="M229" s="33" t="s">
        <v>17</v>
      </c>
    </row>
    <row r="230" spans="1:13" x14ac:dyDescent="0.35">
      <c r="A230" s="33" t="s">
        <v>255</v>
      </c>
      <c r="B230" s="13">
        <v>27</v>
      </c>
      <c r="C230" s="33" t="s">
        <v>14</v>
      </c>
      <c r="D230" s="33" t="s">
        <v>20</v>
      </c>
      <c r="E230" s="33" t="s">
        <v>41</v>
      </c>
      <c r="F230" s="13">
        <v>1</v>
      </c>
      <c r="G230" s="34">
        <v>60600</v>
      </c>
      <c r="H230" s="13">
        <v>5</v>
      </c>
      <c r="I230" s="13">
        <v>4</v>
      </c>
      <c r="J230" s="33" t="s">
        <v>17</v>
      </c>
      <c r="K230" s="13">
        <v>3</v>
      </c>
      <c r="L230" s="13">
        <v>25</v>
      </c>
      <c r="M230" s="33" t="s">
        <v>17</v>
      </c>
    </row>
    <row r="231" spans="1:13" x14ac:dyDescent="0.35">
      <c r="A231" s="33" t="s">
        <v>256</v>
      </c>
      <c r="B231" s="13">
        <v>39</v>
      </c>
      <c r="C231" s="33" t="s">
        <v>19</v>
      </c>
      <c r="D231" s="33" t="s">
        <v>25</v>
      </c>
      <c r="E231" s="33" t="s">
        <v>16</v>
      </c>
      <c r="F231" s="13">
        <v>18</v>
      </c>
      <c r="G231" s="34">
        <v>85300</v>
      </c>
      <c r="H231" s="13">
        <v>1</v>
      </c>
      <c r="I231" s="13">
        <v>3</v>
      </c>
      <c r="J231" s="33" t="s">
        <v>32</v>
      </c>
      <c r="K231" s="13">
        <v>3</v>
      </c>
      <c r="L231" s="13">
        <v>14</v>
      </c>
      <c r="M231" s="33" t="s">
        <v>17</v>
      </c>
    </row>
    <row r="232" spans="1:13" x14ac:dyDescent="0.35">
      <c r="A232" s="33" t="s">
        <v>257</v>
      </c>
      <c r="B232" s="13">
        <v>42</v>
      </c>
      <c r="C232" s="33" t="s">
        <v>14</v>
      </c>
      <c r="D232" s="33" t="s">
        <v>20</v>
      </c>
      <c r="E232" s="33" t="s">
        <v>16</v>
      </c>
      <c r="F232" s="13">
        <v>16</v>
      </c>
      <c r="G232" s="34">
        <v>76200</v>
      </c>
      <c r="H232" s="13">
        <v>2</v>
      </c>
      <c r="I232" s="13">
        <v>4</v>
      </c>
      <c r="J232" s="33" t="s">
        <v>32</v>
      </c>
      <c r="K232" s="13">
        <v>3</v>
      </c>
      <c r="L232" s="13">
        <v>24</v>
      </c>
      <c r="M232" s="33" t="s">
        <v>17</v>
      </c>
    </row>
    <row r="233" spans="1:13" x14ac:dyDescent="0.35">
      <c r="A233" s="33" t="s">
        <v>258</v>
      </c>
      <c r="B233" s="13">
        <v>57</v>
      </c>
      <c r="C233" s="33" t="s">
        <v>14</v>
      </c>
      <c r="D233" s="33" t="s">
        <v>25</v>
      </c>
      <c r="E233" s="33" t="s">
        <v>21</v>
      </c>
      <c r="F233" s="13">
        <v>27</v>
      </c>
      <c r="G233" s="34">
        <v>98200</v>
      </c>
      <c r="H233" s="13">
        <v>2</v>
      </c>
      <c r="I233" s="13">
        <v>3</v>
      </c>
      <c r="J233" s="33" t="s">
        <v>32</v>
      </c>
      <c r="K233" s="13">
        <v>5</v>
      </c>
      <c r="L233" s="13">
        <v>33</v>
      </c>
      <c r="M233" s="33" t="s">
        <v>17</v>
      </c>
    </row>
    <row r="234" spans="1:13" x14ac:dyDescent="0.35">
      <c r="A234" s="33" t="s">
        <v>259</v>
      </c>
      <c r="B234" s="13">
        <v>59</v>
      </c>
      <c r="C234" s="33" t="s">
        <v>14</v>
      </c>
      <c r="D234" s="33" t="s">
        <v>25</v>
      </c>
      <c r="E234" s="33" t="s">
        <v>21</v>
      </c>
      <c r="F234" s="13">
        <v>31</v>
      </c>
      <c r="G234" s="34">
        <v>107700</v>
      </c>
      <c r="H234" s="13">
        <v>4</v>
      </c>
      <c r="I234" s="13">
        <v>4</v>
      </c>
      <c r="J234" s="33" t="s">
        <v>17</v>
      </c>
      <c r="K234" s="13">
        <v>11</v>
      </c>
      <c r="L234" s="13">
        <v>33</v>
      </c>
      <c r="M234" s="33" t="s">
        <v>17</v>
      </c>
    </row>
    <row r="235" spans="1:13" x14ac:dyDescent="0.35">
      <c r="A235" s="33" t="s">
        <v>260</v>
      </c>
      <c r="B235" s="13">
        <v>55</v>
      </c>
      <c r="C235" s="33" t="s">
        <v>19</v>
      </c>
      <c r="D235" s="33" t="s">
        <v>25</v>
      </c>
      <c r="E235" s="33" t="s">
        <v>16</v>
      </c>
      <c r="F235" s="13">
        <v>33</v>
      </c>
      <c r="G235" s="34">
        <v>106500</v>
      </c>
      <c r="H235" s="13">
        <v>4</v>
      </c>
      <c r="I235" s="13">
        <v>4</v>
      </c>
      <c r="J235" s="33" t="s">
        <v>32</v>
      </c>
      <c r="K235" s="13">
        <v>11</v>
      </c>
      <c r="L235" s="13">
        <v>28</v>
      </c>
      <c r="M235" s="33" t="s">
        <v>17</v>
      </c>
    </row>
    <row r="236" spans="1:13" x14ac:dyDescent="0.35">
      <c r="A236" s="33" t="s">
        <v>261</v>
      </c>
      <c r="B236" s="13">
        <v>38</v>
      </c>
      <c r="C236" s="33" t="s">
        <v>14</v>
      </c>
      <c r="D236" s="33" t="s">
        <v>27</v>
      </c>
      <c r="E236" s="33" t="s">
        <v>16</v>
      </c>
      <c r="F236" s="13">
        <v>16</v>
      </c>
      <c r="G236" s="34">
        <v>90200</v>
      </c>
      <c r="H236" s="13">
        <v>2</v>
      </c>
      <c r="I236" s="13">
        <v>3</v>
      </c>
      <c r="J236" s="33" t="s">
        <v>32</v>
      </c>
      <c r="K236" s="13">
        <v>6</v>
      </c>
      <c r="L236" s="13">
        <v>24</v>
      </c>
      <c r="M236" s="33" t="s">
        <v>17</v>
      </c>
    </row>
    <row r="237" spans="1:13" x14ac:dyDescent="0.35">
      <c r="A237" s="33" t="s">
        <v>262</v>
      </c>
      <c r="B237" s="13">
        <v>58</v>
      </c>
      <c r="C237" s="33" t="s">
        <v>19</v>
      </c>
      <c r="D237" s="33" t="s">
        <v>23</v>
      </c>
      <c r="E237" s="33" t="s">
        <v>21</v>
      </c>
      <c r="F237" s="13">
        <v>34</v>
      </c>
      <c r="G237" s="34">
        <v>108700</v>
      </c>
      <c r="H237" s="13">
        <v>3</v>
      </c>
      <c r="I237" s="13">
        <v>3</v>
      </c>
      <c r="J237" s="33" t="s">
        <v>32</v>
      </c>
      <c r="K237" s="13">
        <v>12</v>
      </c>
      <c r="L237" s="13">
        <v>15</v>
      </c>
      <c r="M237" s="33" t="s">
        <v>17</v>
      </c>
    </row>
    <row r="238" spans="1:13" x14ac:dyDescent="0.35">
      <c r="A238" s="33" t="s">
        <v>263</v>
      </c>
      <c r="B238" s="13">
        <v>46</v>
      </c>
      <c r="C238" s="33" t="s">
        <v>14</v>
      </c>
      <c r="D238" s="33" t="s">
        <v>15</v>
      </c>
      <c r="E238" s="33" t="s">
        <v>16</v>
      </c>
      <c r="F238" s="13">
        <v>23</v>
      </c>
      <c r="G238" s="34">
        <v>100700</v>
      </c>
      <c r="H238" s="13">
        <v>4</v>
      </c>
      <c r="I238" s="13">
        <v>3</v>
      </c>
      <c r="J238" s="33" t="s">
        <v>32</v>
      </c>
      <c r="K238" s="13">
        <v>3</v>
      </c>
      <c r="L238" s="13">
        <v>20</v>
      </c>
      <c r="M238" s="33" t="s">
        <v>17</v>
      </c>
    </row>
    <row r="239" spans="1:13" x14ac:dyDescent="0.35">
      <c r="A239" s="33" t="s">
        <v>264</v>
      </c>
      <c r="B239" s="13">
        <v>59</v>
      </c>
      <c r="C239" s="33" t="s">
        <v>14</v>
      </c>
      <c r="D239" s="33" t="s">
        <v>30</v>
      </c>
      <c r="E239" s="33" t="s">
        <v>21</v>
      </c>
      <c r="F239" s="13">
        <v>35</v>
      </c>
      <c r="G239" s="34">
        <v>118300</v>
      </c>
      <c r="H239" s="13">
        <v>4</v>
      </c>
      <c r="I239" s="13">
        <v>4</v>
      </c>
      <c r="J239" s="33" t="s">
        <v>32</v>
      </c>
      <c r="K239" s="13">
        <v>3</v>
      </c>
      <c r="L239" s="13">
        <v>19</v>
      </c>
      <c r="M239" s="33" t="s">
        <v>17</v>
      </c>
    </row>
    <row r="240" spans="1:13" x14ac:dyDescent="0.35">
      <c r="A240" s="33" t="s">
        <v>265</v>
      </c>
      <c r="B240" s="13">
        <v>33</v>
      </c>
      <c r="C240" s="33" t="s">
        <v>19</v>
      </c>
      <c r="D240" s="33" t="s">
        <v>23</v>
      </c>
      <c r="E240" s="33" t="s">
        <v>16</v>
      </c>
      <c r="F240" s="13">
        <v>6</v>
      </c>
      <c r="G240" s="34">
        <v>61400</v>
      </c>
      <c r="H240" s="13">
        <v>4</v>
      </c>
      <c r="I240" s="13">
        <v>3</v>
      </c>
      <c r="J240" s="33" t="s">
        <v>17</v>
      </c>
      <c r="K240" s="13">
        <v>9</v>
      </c>
      <c r="L240" s="13">
        <v>18</v>
      </c>
      <c r="M240" s="33" t="s">
        <v>17</v>
      </c>
    </row>
    <row r="241" spans="1:13" x14ac:dyDescent="0.35">
      <c r="A241" s="33" t="s">
        <v>266</v>
      </c>
      <c r="B241" s="13">
        <v>44</v>
      </c>
      <c r="C241" s="33" t="s">
        <v>14</v>
      </c>
      <c r="D241" s="33" t="s">
        <v>27</v>
      </c>
      <c r="E241" s="33" t="s">
        <v>21</v>
      </c>
      <c r="F241" s="13">
        <v>23</v>
      </c>
      <c r="G241" s="34">
        <v>85700</v>
      </c>
      <c r="H241" s="13">
        <v>4</v>
      </c>
      <c r="I241" s="13">
        <v>4</v>
      </c>
      <c r="J241" s="33" t="s">
        <v>17</v>
      </c>
      <c r="K241" s="13">
        <v>8</v>
      </c>
      <c r="L241" s="13">
        <v>43</v>
      </c>
      <c r="M241" s="33" t="s">
        <v>17</v>
      </c>
    </row>
    <row r="242" spans="1:13" x14ac:dyDescent="0.35">
      <c r="A242" s="33" t="s">
        <v>267</v>
      </c>
      <c r="B242" s="13">
        <v>43</v>
      </c>
      <c r="C242" s="33" t="s">
        <v>14</v>
      </c>
      <c r="D242" s="33" t="s">
        <v>20</v>
      </c>
      <c r="E242" s="33" t="s">
        <v>21</v>
      </c>
      <c r="F242" s="13">
        <v>17</v>
      </c>
      <c r="G242" s="34">
        <v>79000</v>
      </c>
      <c r="H242" s="13">
        <v>3</v>
      </c>
      <c r="I242" s="13">
        <v>2</v>
      </c>
      <c r="J242" s="33" t="s">
        <v>17</v>
      </c>
      <c r="K242" s="13">
        <v>4</v>
      </c>
      <c r="L242" s="13">
        <v>9</v>
      </c>
      <c r="M242" s="33" t="s">
        <v>17</v>
      </c>
    </row>
    <row r="243" spans="1:13" x14ac:dyDescent="0.35">
      <c r="A243" s="33" t="s">
        <v>268</v>
      </c>
      <c r="B243" s="13">
        <v>42</v>
      </c>
      <c r="C243" s="33" t="s">
        <v>19</v>
      </c>
      <c r="D243" s="33" t="s">
        <v>20</v>
      </c>
      <c r="E243" s="33" t="s">
        <v>21</v>
      </c>
      <c r="F243" s="13">
        <v>19</v>
      </c>
      <c r="G243" s="34">
        <v>73900</v>
      </c>
      <c r="H243" s="13">
        <v>3</v>
      </c>
      <c r="I243" s="13">
        <v>4</v>
      </c>
      <c r="J243" s="33" t="s">
        <v>17</v>
      </c>
      <c r="K243" s="13">
        <v>1</v>
      </c>
      <c r="L243" s="13">
        <v>19</v>
      </c>
      <c r="M243" s="33" t="s">
        <v>17</v>
      </c>
    </row>
    <row r="244" spans="1:13" x14ac:dyDescent="0.35">
      <c r="A244" s="33" t="s">
        <v>269</v>
      </c>
      <c r="B244" s="13">
        <v>48</v>
      </c>
      <c r="C244" s="33" t="s">
        <v>14</v>
      </c>
      <c r="D244" s="33" t="s">
        <v>20</v>
      </c>
      <c r="E244" s="33" t="s">
        <v>21</v>
      </c>
      <c r="F244" s="13">
        <v>18</v>
      </c>
      <c r="G244" s="34">
        <v>88300</v>
      </c>
      <c r="H244" s="13">
        <v>4</v>
      </c>
      <c r="I244" s="13">
        <v>4</v>
      </c>
      <c r="J244" s="33" t="s">
        <v>17</v>
      </c>
      <c r="K244" s="13">
        <v>12</v>
      </c>
      <c r="L244" s="13">
        <v>12</v>
      </c>
      <c r="M244" s="33" t="s">
        <v>17</v>
      </c>
    </row>
    <row r="245" spans="1:13" x14ac:dyDescent="0.35">
      <c r="A245" s="33" t="s">
        <v>270</v>
      </c>
      <c r="B245" s="13">
        <v>52</v>
      </c>
      <c r="C245" s="33" t="s">
        <v>14</v>
      </c>
      <c r="D245" s="33" t="s">
        <v>15</v>
      </c>
      <c r="E245" s="33" t="s">
        <v>21</v>
      </c>
      <c r="F245" s="13">
        <v>25</v>
      </c>
      <c r="G245" s="34">
        <v>94200</v>
      </c>
      <c r="H245" s="13">
        <v>4</v>
      </c>
      <c r="I245" s="13">
        <v>3</v>
      </c>
      <c r="J245" s="33" t="s">
        <v>17</v>
      </c>
      <c r="K245" s="13">
        <v>0</v>
      </c>
      <c r="L245" s="13">
        <v>4</v>
      </c>
      <c r="M245" s="33" t="s">
        <v>17</v>
      </c>
    </row>
    <row r="246" spans="1:13" x14ac:dyDescent="0.35">
      <c r="A246" s="33" t="s">
        <v>271</v>
      </c>
      <c r="B246" s="13">
        <v>27</v>
      </c>
      <c r="C246" s="33" t="s">
        <v>14</v>
      </c>
      <c r="D246" s="33" t="s">
        <v>30</v>
      </c>
      <c r="E246" s="33" t="s">
        <v>21</v>
      </c>
      <c r="F246" s="13">
        <v>0</v>
      </c>
      <c r="G246" s="34">
        <v>37700</v>
      </c>
      <c r="H246" s="13">
        <v>5</v>
      </c>
      <c r="I246" s="13">
        <v>4</v>
      </c>
      <c r="J246" s="33" t="s">
        <v>17</v>
      </c>
      <c r="K246" s="13">
        <v>4</v>
      </c>
      <c r="L246" s="13">
        <v>25</v>
      </c>
      <c r="M246" s="33" t="s">
        <v>17</v>
      </c>
    </row>
    <row r="247" spans="1:13" x14ac:dyDescent="0.35">
      <c r="A247" s="33" t="s">
        <v>272</v>
      </c>
      <c r="B247" s="13">
        <v>48</v>
      </c>
      <c r="C247" s="33" t="s">
        <v>14</v>
      </c>
      <c r="D247" s="33" t="s">
        <v>20</v>
      </c>
      <c r="E247" s="33" t="s">
        <v>16</v>
      </c>
      <c r="F247" s="13">
        <v>26</v>
      </c>
      <c r="G247" s="34">
        <v>94700</v>
      </c>
      <c r="H247" s="13">
        <v>4</v>
      </c>
      <c r="I247" s="13">
        <v>4</v>
      </c>
      <c r="J247" s="33" t="s">
        <v>17</v>
      </c>
      <c r="K247" s="13">
        <v>7</v>
      </c>
      <c r="L247" s="13">
        <v>20</v>
      </c>
      <c r="M247" s="33" t="s">
        <v>17</v>
      </c>
    </row>
    <row r="248" spans="1:13" x14ac:dyDescent="0.35">
      <c r="A248" s="33" t="s">
        <v>273</v>
      </c>
      <c r="B248" s="13">
        <v>55</v>
      </c>
      <c r="C248" s="33" t="s">
        <v>19</v>
      </c>
      <c r="D248" s="33" t="s">
        <v>15</v>
      </c>
      <c r="E248" s="33" t="s">
        <v>21</v>
      </c>
      <c r="F248" s="13">
        <v>33</v>
      </c>
      <c r="G248" s="34">
        <v>133200</v>
      </c>
      <c r="H248" s="13">
        <v>4</v>
      </c>
      <c r="I248" s="13">
        <v>4</v>
      </c>
      <c r="J248" s="33" t="s">
        <v>17</v>
      </c>
      <c r="K248" s="13">
        <v>13</v>
      </c>
      <c r="L248" s="13">
        <v>48</v>
      </c>
      <c r="M248" s="33" t="s">
        <v>17</v>
      </c>
    </row>
    <row r="249" spans="1:13" x14ac:dyDescent="0.35">
      <c r="A249" s="33" t="s">
        <v>274</v>
      </c>
      <c r="B249" s="13">
        <v>33</v>
      </c>
      <c r="C249" s="33" t="s">
        <v>19</v>
      </c>
      <c r="D249" s="33" t="s">
        <v>20</v>
      </c>
      <c r="E249" s="33" t="s">
        <v>16</v>
      </c>
      <c r="F249" s="13">
        <v>9</v>
      </c>
      <c r="G249" s="34">
        <v>54100</v>
      </c>
      <c r="H249" s="13">
        <v>2</v>
      </c>
      <c r="I249" s="13">
        <v>3</v>
      </c>
      <c r="J249" s="33" t="s">
        <v>32</v>
      </c>
      <c r="K249" s="13">
        <v>9</v>
      </c>
      <c r="L249" s="13">
        <v>19</v>
      </c>
      <c r="M249" s="33" t="s">
        <v>17</v>
      </c>
    </row>
    <row r="250" spans="1:13" x14ac:dyDescent="0.35">
      <c r="A250" s="33" t="s">
        <v>275</v>
      </c>
      <c r="B250" s="13">
        <v>28</v>
      </c>
      <c r="C250" s="33" t="s">
        <v>14</v>
      </c>
      <c r="D250" s="33" t="s">
        <v>20</v>
      </c>
      <c r="E250" s="33" t="s">
        <v>21</v>
      </c>
      <c r="F250" s="13">
        <v>7</v>
      </c>
      <c r="G250" s="34">
        <v>55100</v>
      </c>
      <c r="H250" s="13">
        <v>3</v>
      </c>
      <c r="I250" s="13">
        <v>4</v>
      </c>
      <c r="J250" s="33" t="s">
        <v>32</v>
      </c>
      <c r="K250" s="13">
        <v>9</v>
      </c>
      <c r="L250" s="13">
        <v>42</v>
      </c>
      <c r="M250" s="33" t="s">
        <v>17</v>
      </c>
    </row>
    <row r="251" spans="1:13" x14ac:dyDescent="0.35">
      <c r="A251" s="33" t="s">
        <v>276</v>
      </c>
      <c r="B251" s="13">
        <v>31</v>
      </c>
      <c r="C251" s="33" t="s">
        <v>19</v>
      </c>
      <c r="D251" s="33" t="s">
        <v>20</v>
      </c>
      <c r="E251" s="33" t="s">
        <v>21</v>
      </c>
      <c r="F251" s="13">
        <v>8</v>
      </c>
      <c r="G251" s="34">
        <v>48500</v>
      </c>
      <c r="H251" s="13">
        <v>1</v>
      </c>
      <c r="I251" s="13">
        <v>2</v>
      </c>
      <c r="J251" s="33" t="s">
        <v>17</v>
      </c>
      <c r="K251" s="13">
        <v>4</v>
      </c>
      <c r="L251" s="13">
        <v>34</v>
      </c>
      <c r="M251" s="33" t="s">
        <v>17</v>
      </c>
    </row>
    <row r="252" spans="1:13" x14ac:dyDescent="0.35">
      <c r="A252" s="33" t="s">
        <v>277</v>
      </c>
      <c r="B252" s="13">
        <v>38</v>
      </c>
      <c r="C252" s="33" t="s">
        <v>14</v>
      </c>
      <c r="D252" s="33" t="s">
        <v>15</v>
      </c>
      <c r="E252" s="33" t="s">
        <v>21</v>
      </c>
      <c r="F252" s="13">
        <v>9</v>
      </c>
      <c r="G252" s="34">
        <v>62300</v>
      </c>
      <c r="H252" s="13">
        <v>3</v>
      </c>
      <c r="I252" s="13">
        <v>4</v>
      </c>
      <c r="J252" s="33" t="s">
        <v>32</v>
      </c>
      <c r="K252" s="13">
        <v>10</v>
      </c>
      <c r="L252" s="13">
        <v>24</v>
      </c>
      <c r="M252" s="33" t="s">
        <v>17</v>
      </c>
    </row>
    <row r="253" spans="1:13" x14ac:dyDescent="0.35">
      <c r="A253" s="33" t="s">
        <v>278</v>
      </c>
      <c r="B253" s="13">
        <v>47</v>
      </c>
      <c r="C253" s="33" t="s">
        <v>19</v>
      </c>
      <c r="D253" s="33" t="s">
        <v>15</v>
      </c>
      <c r="E253" s="33" t="s">
        <v>31</v>
      </c>
      <c r="F253" s="13">
        <v>20</v>
      </c>
      <c r="G253" s="34">
        <v>92200</v>
      </c>
      <c r="H253" s="13">
        <v>4</v>
      </c>
      <c r="I253" s="13">
        <v>3</v>
      </c>
      <c r="J253" s="33" t="s">
        <v>17</v>
      </c>
      <c r="K253" s="13">
        <v>6</v>
      </c>
      <c r="L253" s="13">
        <v>47</v>
      </c>
      <c r="M253" s="33" t="s">
        <v>17</v>
      </c>
    </row>
    <row r="254" spans="1:13" x14ac:dyDescent="0.35">
      <c r="A254" s="33" t="s">
        <v>279</v>
      </c>
      <c r="B254" s="13">
        <v>42</v>
      </c>
      <c r="C254" s="33" t="s">
        <v>14</v>
      </c>
      <c r="D254" s="33" t="s">
        <v>20</v>
      </c>
      <c r="E254" s="33" t="s">
        <v>21</v>
      </c>
      <c r="F254" s="13">
        <v>15</v>
      </c>
      <c r="G254" s="34">
        <v>77600</v>
      </c>
      <c r="H254" s="13">
        <v>5</v>
      </c>
      <c r="I254" s="13">
        <v>4</v>
      </c>
      <c r="J254" s="33" t="s">
        <v>17</v>
      </c>
      <c r="K254" s="13">
        <v>0</v>
      </c>
      <c r="L254" s="13">
        <v>30</v>
      </c>
      <c r="M254" s="33" t="s">
        <v>17</v>
      </c>
    </row>
    <row r="255" spans="1:13" x14ac:dyDescent="0.35">
      <c r="A255" s="33" t="s">
        <v>280</v>
      </c>
      <c r="B255" s="13">
        <v>49</v>
      </c>
      <c r="C255" s="33" t="s">
        <v>14</v>
      </c>
      <c r="D255" s="33" t="s">
        <v>15</v>
      </c>
      <c r="E255" s="33" t="s">
        <v>21</v>
      </c>
      <c r="F255" s="13">
        <v>25</v>
      </c>
      <c r="G255" s="34">
        <v>111400</v>
      </c>
      <c r="H255" s="13">
        <v>2</v>
      </c>
      <c r="I255" s="13">
        <v>3</v>
      </c>
      <c r="J255" s="33" t="s">
        <v>17</v>
      </c>
      <c r="K255" s="13">
        <v>9</v>
      </c>
      <c r="L255" s="13">
        <v>40</v>
      </c>
      <c r="M255" s="33" t="s">
        <v>17</v>
      </c>
    </row>
    <row r="256" spans="1:13" x14ac:dyDescent="0.35">
      <c r="A256" s="33" t="s">
        <v>281</v>
      </c>
      <c r="B256" s="13">
        <v>23</v>
      </c>
      <c r="C256" s="33" t="s">
        <v>14</v>
      </c>
      <c r="D256" s="33" t="s">
        <v>27</v>
      </c>
      <c r="E256" s="33" t="s">
        <v>31</v>
      </c>
      <c r="F256" s="13">
        <v>1</v>
      </c>
      <c r="G256" s="34">
        <v>31400</v>
      </c>
      <c r="H256" s="13">
        <v>3</v>
      </c>
      <c r="I256" s="13">
        <v>4</v>
      </c>
      <c r="J256" s="33" t="s">
        <v>17</v>
      </c>
      <c r="K256" s="13">
        <v>10</v>
      </c>
      <c r="L256" s="13">
        <v>44</v>
      </c>
      <c r="M256" s="33" t="s">
        <v>17</v>
      </c>
    </row>
    <row r="257" spans="1:13" x14ac:dyDescent="0.35">
      <c r="A257" s="33" t="s">
        <v>282</v>
      </c>
      <c r="B257" s="13">
        <v>22</v>
      </c>
      <c r="C257" s="33" t="s">
        <v>14</v>
      </c>
      <c r="D257" s="33" t="s">
        <v>25</v>
      </c>
      <c r="E257" s="33" t="s">
        <v>41</v>
      </c>
      <c r="F257" s="13">
        <v>0</v>
      </c>
      <c r="G257" s="34">
        <v>51900</v>
      </c>
      <c r="H257" s="13">
        <v>4</v>
      </c>
      <c r="I257" s="13">
        <v>5</v>
      </c>
      <c r="J257" s="33" t="s">
        <v>32</v>
      </c>
      <c r="K257" s="13">
        <v>11</v>
      </c>
      <c r="L257" s="13">
        <v>32</v>
      </c>
      <c r="M257" s="33" t="s">
        <v>17</v>
      </c>
    </row>
    <row r="258" spans="1:13" x14ac:dyDescent="0.35">
      <c r="A258" s="33" t="s">
        <v>283</v>
      </c>
      <c r="B258" s="13">
        <v>57</v>
      </c>
      <c r="C258" s="33" t="s">
        <v>14</v>
      </c>
      <c r="D258" s="33" t="s">
        <v>20</v>
      </c>
      <c r="E258" s="33" t="s">
        <v>21</v>
      </c>
      <c r="F258" s="13">
        <v>31</v>
      </c>
      <c r="G258" s="34">
        <v>114400</v>
      </c>
      <c r="H258" s="13">
        <v>2</v>
      </c>
      <c r="I258" s="13">
        <v>3</v>
      </c>
      <c r="J258" s="33" t="s">
        <v>32</v>
      </c>
      <c r="K258" s="13">
        <v>8</v>
      </c>
      <c r="L258" s="13">
        <v>31</v>
      </c>
      <c r="M258" s="33" t="s">
        <v>17</v>
      </c>
    </row>
    <row r="259" spans="1:13" x14ac:dyDescent="0.35">
      <c r="A259" s="33" t="s">
        <v>284</v>
      </c>
      <c r="B259" s="13">
        <v>47</v>
      </c>
      <c r="C259" s="33" t="s">
        <v>14</v>
      </c>
      <c r="D259" s="33" t="s">
        <v>23</v>
      </c>
      <c r="E259" s="33" t="s">
        <v>16</v>
      </c>
      <c r="F259" s="13">
        <v>24</v>
      </c>
      <c r="G259" s="34">
        <v>84000</v>
      </c>
      <c r="H259" s="13">
        <v>4</v>
      </c>
      <c r="I259" s="13">
        <v>4</v>
      </c>
      <c r="J259" s="33" t="s">
        <v>17</v>
      </c>
      <c r="K259" s="13">
        <v>2</v>
      </c>
      <c r="L259" s="13">
        <v>34</v>
      </c>
      <c r="M259" s="33" t="s">
        <v>32</v>
      </c>
    </row>
    <row r="260" spans="1:13" x14ac:dyDescent="0.35">
      <c r="A260" s="33" t="s">
        <v>285</v>
      </c>
      <c r="B260" s="13">
        <v>50</v>
      </c>
      <c r="C260" s="33" t="s">
        <v>19</v>
      </c>
      <c r="D260" s="33" t="s">
        <v>25</v>
      </c>
      <c r="E260" s="33" t="s">
        <v>21</v>
      </c>
      <c r="F260" s="13">
        <v>29</v>
      </c>
      <c r="G260" s="34">
        <v>102000</v>
      </c>
      <c r="H260" s="13">
        <v>4</v>
      </c>
      <c r="I260" s="13">
        <v>4</v>
      </c>
      <c r="J260" s="33" t="s">
        <v>17</v>
      </c>
      <c r="K260" s="13">
        <v>0</v>
      </c>
      <c r="L260" s="13">
        <v>13</v>
      </c>
      <c r="M260" s="33" t="s">
        <v>17</v>
      </c>
    </row>
    <row r="261" spans="1:13" x14ac:dyDescent="0.35">
      <c r="A261" s="33" t="s">
        <v>286</v>
      </c>
      <c r="B261" s="13">
        <v>42</v>
      </c>
      <c r="C261" s="33" t="s">
        <v>14</v>
      </c>
      <c r="D261" s="33" t="s">
        <v>30</v>
      </c>
      <c r="E261" s="33" t="s">
        <v>16</v>
      </c>
      <c r="F261" s="13">
        <v>14</v>
      </c>
      <c r="G261" s="34">
        <v>73800</v>
      </c>
      <c r="H261" s="13">
        <v>4</v>
      </c>
      <c r="I261" s="13">
        <v>5</v>
      </c>
      <c r="J261" s="33" t="s">
        <v>17</v>
      </c>
      <c r="K261" s="13">
        <v>7</v>
      </c>
      <c r="L261" s="13">
        <v>28</v>
      </c>
      <c r="M261" s="33" t="s">
        <v>17</v>
      </c>
    </row>
    <row r="262" spans="1:13" x14ac:dyDescent="0.35">
      <c r="A262" s="33" t="s">
        <v>287</v>
      </c>
      <c r="B262" s="13">
        <v>32</v>
      </c>
      <c r="C262" s="33" t="s">
        <v>19</v>
      </c>
      <c r="D262" s="33" t="s">
        <v>25</v>
      </c>
      <c r="E262" s="33" t="s">
        <v>16</v>
      </c>
      <c r="F262" s="13">
        <v>7</v>
      </c>
      <c r="G262" s="34">
        <v>61300</v>
      </c>
      <c r="H262" s="13">
        <v>2</v>
      </c>
      <c r="I262" s="13">
        <v>2</v>
      </c>
      <c r="J262" s="33" t="s">
        <v>17</v>
      </c>
      <c r="K262" s="13">
        <v>10</v>
      </c>
      <c r="L262" s="13">
        <v>35</v>
      </c>
      <c r="M262" s="33" t="s">
        <v>17</v>
      </c>
    </row>
    <row r="263" spans="1:13" x14ac:dyDescent="0.35">
      <c r="A263" s="33" t="s">
        <v>288</v>
      </c>
      <c r="B263" s="13">
        <v>32</v>
      </c>
      <c r="C263" s="33" t="s">
        <v>14</v>
      </c>
      <c r="D263" s="33" t="s">
        <v>20</v>
      </c>
      <c r="E263" s="33" t="s">
        <v>16</v>
      </c>
      <c r="F263" s="13">
        <v>7</v>
      </c>
      <c r="G263" s="34">
        <v>53000</v>
      </c>
      <c r="H263" s="13">
        <v>3</v>
      </c>
      <c r="I263" s="13">
        <v>3</v>
      </c>
      <c r="J263" s="33" t="s">
        <v>17</v>
      </c>
      <c r="K263" s="13">
        <v>10</v>
      </c>
      <c r="L263" s="13">
        <v>40</v>
      </c>
      <c r="M263" s="33" t="s">
        <v>17</v>
      </c>
    </row>
    <row r="264" spans="1:13" x14ac:dyDescent="0.35">
      <c r="A264" s="33" t="s">
        <v>289</v>
      </c>
      <c r="B264" s="13">
        <v>57</v>
      </c>
      <c r="C264" s="33" t="s">
        <v>19</v>
      </c>
      <c r="D264" s="33" t="s">
        <v>27</v>
      </c>
      <c r="E264" s="33" t="s">
        <v>21</v>
      </c>
      <c r="F264" s="13">
        <v>33</v>
      </c>
      <c r="G264" s="34">
        <v>102600</v>
      </c>
      <c r="H264" s="13">
        <v>4</v>
      </c>
      <c r="I264" s="13">
        <v>5</v>
      </c>
      <c r="J264" s="33" t="s">
        <v>17</v>
      </c>
      <c r="K264" s="13">
        <v>9</v>
      </c>
      <c r="L264" s="13">
        <v>18</v>
      </c>
      <c r="M264" s="33" t="s">
        <v>17</v>
      </c>
    </row>
    <row r="265" spans="1:13" x14ac:dyDescent="0.35">
      <c r="A265" s="33" t="s">
        <v>290</v>
      </c>
      <c r="B265" s="13">
        <v>60</v>
      </c>
      <c r="C265" s="33" t="s">
        <v>19</v>
      </c>
      <c r="D265" s="33" t="s">
        <v>25</v>
      </c>
      <c r="E265" s="33" t="s">
        <v>21</v>
      </c>
      <c r="F265" s="13">
        <v>34</v>
      </c>
      <c r="G265" s="34">
        <v>97400</v>
      </c>
      <c r="H265" s="13">
        <v>4</v>
      </c>
      <c r="I265" s="13">
        <v>4</v>
      </c>
      <c r="J265" s="33" t="s">
        <v>32</v>
      </c>
      <c r="K265" s="13">
        <v>7</v>
      </c>
      <c r="L265" s="13">
        <v>33</v>
      </c>
      <c r="M265" s="33" t="s">
        <v>17</v>
      </c>
    </row>
    <row r="266" spans="1:13" x14ac:dyDescent="0.35">
      <c r="A266" s="33" t="s">
        <v>291</v>
      </c>
      <c r="B266" s="13">
        <v>56</v>
      </c>
      <c r="C266" s="33" t="s">
        <v>19</v>
      </c>
      <c r="D266" s="33" t="s">
        <v>20</v>
      </c>
      <c r="E266" s="33" t="s">
        <v>21</v>
      </c>
      <c r="F266" s="13">
        <v>33</v>
      </c>
      <c r="G266" s="34">
        <v>115400</v>
      </c>
      <c r="H266" s="13">
        <v>1</v>
      </c>
      <c r="I266" s="13">
        <v>3</v>
      </c>
      <c r="J266" s="33" t="s">
        <v>32</v>
      </c>
      <c r="K266" s="13">
        <v>12</v>
      </c>
      <c r="L266" s="13">
        <v>24</v>
      </c>
      <c r="M266" s="33" t="s">
        <v>17</v>
      </c>
    </row>
    <row r="267" spans="1:13" x14ac:dyDescent="0.35">
      <c r="A267" s="33" t="s">
        <v>292</v>
      </c>
      <c r="B267" s="13">
        <v>55</v>
      </c>
      <c r="C267" s="33" t="s">
        <v>14</v>
      </c>
      <c r="D267" s="33" t="s">
        <v>23</v>
      </c>
      <c r="E267" s="33" t="s">
        <v>16</v>
      </c>
      <c r="F267" s="13">
        <v>26</v>
      </c>
      <c r="G267" s="34">
        <v>107900</v>
      </c>
      <c r="H267" s="13">
        <v>4</v>
      </c>
      <c r="I267" s="13">
        <v>4</v>
      </c>
      <c r="J267" s="33" t="s">
        <v>17</v>
      </c>
      <c r="K267" s="13">
        <v>10</v>
      </c>
      <c r="L267" s="13">
        <v>26</v>
      </c>
      <c r="M267" s="33" t="s">
        <v>17</v>
      </c>
    </row>
    <row r="268" spans="1:13" x14ac:dyDescent="0.35">
      <c r="A268" s="33" t="s">
        <v>293</v>
      </c>
      <c r="B268" s="13">
        <v>45</v>
      </c>
      <c r="C268" s="33" t="s">
        <v>14</v>
      </c>
      <c r="D268" s="33" t="s">
        <v>23</v>
      </c>
      <c r="E268" s="33" t="s">
        <v>16</v>
      </c>
      <c r="F268" s="13">
        <v>20</v>
      </c>
      <c r="G268" s="34">
        <v>89100</v>
      </c>
      <c r="H268" s="13">
        <v>1</v>
      </c>
      <c r="I268" s="13">
        <v>4</v>
      </c>
      <c r="J268" s="33" t="s">
        <v>32</v>
      </c>
      <c r="K268" s="13">
        <v>6</v>
      </c>
      <c r="L268" s="13">
        <v>31</v>
      </c>
      <c r="M268" s="33" t="s">
        <v>17</v>
      </c>
    </row>
    <row r="269" spans="1:13" x14ac:dyDescent="0.35">
      <c r="A269" s="33" t="s">
        <v>294</v>
      </c>
      <c r="B269" s="13">
        <v>43</v>
      </c>
      <c r="C269" s="33" t="s">
        <v>19</v>
      </c>
      <c r="D269" s="33" t="s">
        <v>23</v>
      </c>
      <c r="E269" s="33" t="s">
        <v>41</v>
      </c>
      <c r="F269" s="13">
        <v>20</v>
      </c>
      <c r="G269" s="34">
        <v>90300</v>
      </c>
      <c r="H269" s="13">
        <v>4</v>
      </c>
      <c r="I269" s="13">
        <v>3</v>
      </c>
      <c r="J269" s="33" t="s">
        <v>17</v>
      </c>
      <c r="K269" s="13">
        <v>9</v>
      </c>
      <c r="L269" s="13">
        <v>25</v>
      </c>
      <c r="M269" s="33" t="s">
        <v>17</v>
      </c>
    </row>
    <row r="270" spans="1:13" x14ac:dyDescent="0.35">
      <c r="A270" s="33" t="s">
        <v>295</v>
      </c>
      <c r="B270" s="13">
        <v>26</v>
      </c>
      <c r="C270" s="33" t="s">
        <v>14</v>
      </c>
      <c r="D270" s="33" t="s">
        <v>15</v>
      </c>
      <c r="E270" s="33" t="s">
        <v>21</v>
      </c>
      <c r="F270" s="13">
        <v>5</v>
      </c>
      <c r="G270" s="34">
        <v>44600</v>
      </c>
      <c r="H270" s="13">
        <v>2</v>
      </c>
      <c r="I270" s="13">
        <v>4</v>
      </c>
      <c r="J270" s="33" t="s">
        <v>17</v>
      </c>
      <c r="K270" s="13">
        <v>4</v>
      </c>
      <c r="L270" s="13">
        <v>33</v>
      </c>
      <c r="M270" s="33" t="s">
        <v>32</v>
      </c>
    </row>
    <row r="271" spans="1:13" x14ac:dyDescent="0.35">
      <c r="A271" s="33" t="s">
        <v>296</v>
      </c>
      <c r="B271" s="13">
        <v>54</v>
      </c>
      <c r="C271" s="33" t="s">
        <v>19</v>
      </c>
      <c r="D271" s="33" t="s">
        <v>15</v>
      </c>
      <c r="E271" s="33" t="s">
        <v>16</v>
      </c>
      <c r="F271" s="13">
        <v>24</v>
      </c>
      <c r="G271" s="34">
        <v>108700</v>
      </c>
      <c r="H271" s="13">
        <v>5</v>
      </c>
      <c r="I271" s="13">
        <v>5</v>
      </c>
      <c r="J271" s="33" t="s">
        <v>17</v>
      </c>
      <c r="K271" s="13">
        <v>8</v>
      </c>
      <c r="L271" s="13">
        <v>44</v>
      </c>
      <c r="M271" s="33" t="s">
        <v>17</v>
      </c>
    </row>
    <row r="272" spans="1:13" x14ac:dyDescent="0.35">
      <c r="A272" s="33" t="s">
        <v>297</v>
      </c>
      <c r="B272" s="13">
        <v>57</v>
      </c>
      <c r="C272" s="33" t="s">
        <v>14</v>
      </c>
      <c r="D272" s="33" t="s">
        <v>20</v>
      </c>
      <c r="E272" s="33" t="s">
        <v>16</v>
      </c>
      <c r="F272" s="13">
        <v>31</v>
      </c>
      <c r="G272" s="34">
        <v>103500</v>
      </c>
      <c r="H272" s="13">
        <v>3</v>
      </c>
      <c r="I272" s="13">
        <v>3</v>
      </c>
      <c r="J272" s="33" t="s">
        <v>32</v>
      </c>
      <c r="K272" s="13">
        <v>2</v>
      </c>
      <c r="L272" s="13">
        <v>31</v>
      </c>
      <c r="M272" s="33" t="s">
        <v>17</v>
      </c>
    </row>
    <row r="273" spans="1:13" x14ac:dyDescent="0.35">
      <c r="A273" s="33" t="s">
        <v>298</v>
      </c>
      <c r="B273" s="13">
        <v>41</v>
      </c>
      <c r="C273" s="33" t="s">
        <v>19</v>
      </c>
      <c r="D273" s="33" t="s">
        <v>20</v>
      </c>
      <c r="E273" s="33" t="s">
        <v>21</v>
      </c>
      <c r="F273" s="13">
        <v>19</v>
      </c>
      <c r="G273" s="34">
        <v>72800</v>
      </c>
      <c r="H273" s="13">
        <v>3</v>
      </c>
      <c r="I273" s="13">
        <v>4</v>
      </c>
      <c r="J273" s="33" t="s">
        <v>32</v>
      </c>
      <c r="K273" s="13">
        <v>3</v>
      </c>
      <c r="L273" s="13">
        <v>31</v>
      </c>
      <c r="M273" s="33" t="s">
        <v>17</v>
      </c>
    </row>
    <row r="274" spans="1:13" x14ac:dyDescent="0.35">
      <c r="A274" s="33" t="s">
        <v>299</v>
      </c>
      <c r="B274" s="13">
        <v>40</v>
      </c>
      <c r="C274" s="33" t="s">
        <v>19</v>
      </c>
      <c r="D274" s="33" t="s">
        <v>20</v>
      </c>
      <c r="E274" s="33" t="s">
        <v>31</v>
      </c>
      <c r="F274" s="13">
        <v>17</v>
      </c>
      <c r="G274" s="34">
        <v>69300</v>
      </c>
      <c r="H274" s="13">
        <v>2</v>
      </c>
      <c r="I274" s="13">
        <v>2</v>
      </c>
      <c r="J274" s="33" t="s">
        <v>17</v>
      </c>
      <c r="K274" s="13">
        <v>10</v>
      </c>
      <c r="L274" s="13">
        <v>44</v>
      </c>
      <c r="M274" s="33" t="s">
        <v>17</v>
      </c>
    </row>
    <row r="275" spans="1:13" x14ac:dyDescent="0.35">
      <c r="A275" s="33" t="s">
        <v>300</v>
      </c>
      <c r="B275" s="13">
        <v>56</v>
      </c>
      <c r="C275" s="33" t="s">
        <v>14</v>
      </c>
      <c r="D275" s="33" t="s">
        <v>20</v>
      </c>
      <c r="E275" s="33" t="s">
        <v>16</v>
      </c>
      <c r="F275" s="13">
        <v>35</v>
      </c>
      <c r="G275" s="34">
        <v>118600</v>
      </c>
      <c r="H275" s="13">
        <v>3</v>
      </c>
      <c r="I275" s="13">
        <v>3</v>
      </c>
      <c r="J275" s="33" t="s">
        <v>17</v>
      </c>
      <c r="K275" s="13">
        <v>10</v>
      </c>
      <c r="L275" s="13">
        <v>35</v>
      </c>
      <c r="M275" s="33" t="s">
        <v>17</v>
      </c>
    </row>
    <row r="276" spans="1:13" x14ac:dyDescent="0.35">
      <c r="A276" s="33" t="s">
        <v>301</v>
      </c>
      <c r="B276" s="13">
        <v>38</v>
      </c>
      <c r="C276" s="33" t="s">
        <v>19</v>
      </c>
      <c r="D276" s="33" t="s">
        <v>25</v>
      </c>
      <c r="E276" s="33" t="s">
        <v>16</v>
      </c>
      <c r="F276" s="13">
        <v>9</v>
      </c>
      <c r="G276" s="34">
        <v>57500</v>
      </c>
      <c r="H276" s="13">
        <v>5</v>
      </c>
      <c r="I276" s="13">
        <v>4</v>
      </c>
      <c r="J276" s="33" t="s">
        <v>32</v>
      </c>
      <c r="K276" s="13">
        <v>10</v>
      </c>
      <c r="L276" s="13">
        <v>26</v>
      </c>
      <c r="M276" s="33" t="s">
        <v>17</v>
      </c>
    </row>
    <row r="277" spans="1:13" x14ac:dyDescent="0.35">
      <c r="A277" s="33" t="s">
        <v>302</v>
      </c>
      <c r="B277" s="13">
        <v>55</v>
      </c>
      <c r="C277" s="33" t="s">
        <v>14</v>
      </c>
      <c r="D277" s="33" t="s">
        <v>25</v>
      </c>
      <c r="E277" s="33" t="s">
        <v>16</v>
      </c>
      <c r="F277" s="13">
        <v>27</v>
      </c>
      <c r="G277" s="34">
        <v>102600</v>
      </c>
      <c r="H277" s="13">
        <v>5</v>
      </c>
      <c r="I277" s="13">
        <v>3</v>
      </c>
      <c r="J277" s="33" t="s">
        <v>17</v>
      </c>
      <c r="K277" s="13">
        <v>6</v>
      </c>
      <c r="L277" s="13">
        <v>7</v>
      </c>
      <c r="M277" s="33" t="s">
        <v>17</v>
      </c>
    </row>
    <row r="278" spans="1:13" x14ac:dyDescent="0.35">
      <c r="A278" s="33" t="s">
        <v>303</v>
      </c>
      <c r="B278" s="13">
        <v>30</v>
      </c>
      <c r="C278" s="33" t="s">
        <v>19</v>
      </c>
      <c r="D278" s="33" t="s">
        <v>20</v>
      </c>
      <c r="E278" s="33" t="s">
        <v>21</v>
      </c>
      <c r="F278" s="13">
        <v>8</v>
      </c>
      <c r="G278" s="34">
        <v>49200</v>
      </c>
      <c r="H278" s="13">
        <v>3</v>
      </c>
      <c r="I278" s="13">
        <v>4</v>
      </c>
      <c r="J278" s="33" t="s">
        <v>32</v>
      </c>
      <c r="K278" s="13">
        <v>0</v>
      </c>
      <c r="L278" s="13">
        <v>15</v>
      </c>
      <c r="M278" s="33" t="s">
        <v>17</v>
      </c>
    </row>
    <row r="279" spans="1:13" x14ac:dyDescent="0.35">
      <c r="A279" s="33" t="s">
        <v>304</v>
      </c>
      <c r="B279" s="13">
        <v>47</v>
      </c>
      <c r="C279" s="33" t="s">
        <v>19</v>
      </c>
      <c r="D279" s="33" t="s">
        <v>23</v>
      </c>
      <c r="E279" s="33" t="s">
        <v>16</v>
      </c>
      <c r="F279" s="13">
        <v>19</v>
      </c>
      <c r="G279" s="34">
        <v>89700</v>
      </c>
      <c r="H279" s="13">
        <v>3</v>
      </c>
      <c r="I279" s="13">
        <v>4</v>
      </c>
      <c r="J279" s="33" t="s">
        <v>17</v>
      </c>
      <c r="K279" s="13">
        <v>6</v>
      </c>
      <c r="L279" s="13">
        <v>38</v>
      </c>
      <c r="M279" s="33" t="s">
        <v>17</v>
      </c>
    </row>
    <row r="280" spans="1:13" x14ac:dyDescent="0.35">
      <c r="A280" s="33" t="s">
        <v>305</v>
      </c>
      <c r="B280" s="13">
        <v>23</v>
      </c>
      <c r="C280" s="33" t="s">
        <v>14</v>
      </c>
      <c r="D280" s="33" t="s">
        <v>23</v>
      </c>
      <c r="E280" s="33" t="s">
        <v>21</v>
      </c>
      <c r="F280" s="13">
        <v>0</v>
      </c>
      <c r="G280" s="34">
        <v>43200</v>
      </c>
      <c r="H280" s="13">
        <v>4</v>
      </c>
      <c r="I280" s="13">
        <v>5</v>
      </c>
      <c r="J280" s="33" t="s">
        <v>17</v>
      </c>
      <c r="K280" s="13">
        <v>8</v>
      </c>
      <c r="L280" s="13">
        <v>19</v>
      </c>
      <c r="M280" s="33" t="s">
        <v>17</v>
      </c>
    </row>
    <row r="281" spans="1:13" x14ac:dyDescent="0.35">
      <c r="A281" s="33" t="s">
        <v>306</v>
      </c>
      <c r="B281" s="13">
        <v>30</v>
      </c>
      <c r="C281" s="33" t="s">
        <v>14</v>
      </c>
      <c r="D281" s="33" t="s">
        <v>20</v>
      </c>
      <c r="E281" s="33" t="s">
        <v>21</v>
      </c>
      <c r="F281" s="13">
        <v>9</v>
      </c>
      <c r="G281" s="34">
        <v>56600</v>
      </c>
      <c r="H281" s="13">
        <v>5</v>
      </c>
      <c r="I281" s="13">
        <v>5</v>
      </c>
      <c r="J281" s="33" t="s">
        <v>17</v>
      </c>
      <c r="K281" s="13">
        <v>4</v>
      </c>
      <c r="L281" s="13">
        <v>15</v>
      </c>
      <c r="M281" s="33" t="s">
        <v>17</v>
      </c>
    </row>
    <row r="282" spans="1:13" x14ac:dyDescent="0.35">
      <c r="A282" s="33" t="s">
        <v>307</v>
      </c>
      <c r="B282" s="13">
        <v>30</v>
      </c>
      <c r="C282" s="33" t="s">
        <v>14</v>
      </c>
      <c r="D282" s="33" t="s">
        <v>20</v>
      </c>
      <c r="E282" s="33" t="s">
        <v>21</v>
      </c>
      <c r="F282" s="13">
        <v>5</v>
      </c>
      <c r="G282" s="34">
        <v>50200</v>
      </c>
      <c r="H282" s="13">
        <v>4</v>
      </c>
      <c r="I282" s="13">
        <v>5</v>
      </c>
      <c r="J282" s="33" t="s">
        <v>32</v>
      </c>
      <c r="K282" s="13">
        <v>5</v>
      </c>
      <c r="L282" s="13">
        <v>18</v>
      </c>
      <c r="M282" s="33" t="s">
        <v>17</v>
      </c>
    </row>
    <row r="283" spans="1:13" x14ac:dyDescent="0.35">
      <c r="A283" s="33" t="s">
        <v>308</v>
      </c>
      <c r="B283" s="13">
        <v>38</v>
      </c>
      <c r="C283" s="33" t="s">
        <v>19</v>
      </c>
      <c r="D283" s="33" t="s">
        <v>15</v>
      </c>
      <c r="E283" s="33" t="s">
        <v>16</v>
      </c>
      <c r="F283" s="13">
        <v>10</v>
      </c>
      <c r="G283" s="34">
        <v>88800</v>
      </c>
      <c r="H283" s="13">
        <v>3</v>
      </c>
      <c r="I283" s="13">
        <v>4</v>
      </c>
      <c r="J283" s="33" t="s">
        <v>17</v>
      </c>
      <c r="K283" s="13">
        <v>12</v>
      </c>
      <c r="L283" s="13">
        <v>19</v>
      </c>
      <c r="M283" s="33" t="s">
        <v>17</v>
      </c>
    </row>
    <row r="284" spans="1:13" x14ac:dyDescent="0.35">
      <c r="A284" s="33" t="s">
        <v>309</v>
      </c>
      <c r="B284" s="13">
        <v>22</v>
      </c>
      <c r="C284" s="33" t="s">
        <v>14</v>
      </c>
      <c r="D284" s="33" t="s">
        <v>15</v>
      </c>
      <c r="E284" s="33" t="s">
        <v>16</v>
      </c>
      <c r="F284" s="13">
        <v>0</v>
      </c>
      <c r="G284" s="34">
        <v>43800</v>
      </c>
      <c r="H284" s="13">
        <v>3</v>
      </c>
      <c r="I284" s="13">
        <v>3</v>
      </c>
      <c r="J284" s="33" t="s">
        <v>32</v>
      </c>
      <c r="K284" s="13">
        <v>7</v>
      </c>
      <c r="L284" s="13">
        <v>32</v>
      </c>
      <c r="M284" s="33" t="s">
        <v>17</v>
      </c>
    </row>
    <row r="285" spans="1:13" x14ac:dyDescent="0.35">
      <c r="A285" s="33" t="s">
        <v>310</v>
      </c>
      <c r="B285" s="13">
        <v>46</v>
      </c>
      <c r="C285" s="33" t="s">
        <v>19</v>
      </c>
      <c r="D285" s="33" t="s">
        <v>30</v>
      </c>
      <c r="E285" s="33" t="s">
        <v>21</v>
      </c>
      <c r="F285" s="13">
        <v>22</v>
      </c>
      <c r="G285" s="34">
        <v>75800</v>
      </c>
      <c r="H285" s="13">
        <v>4</v>
      </c>
      <c r="I285" s="13">
        <v>4</v>
      </c>
      <c r="J285" s="33" t="s">
        <v>17</v>
      </c>
      <c r="K285" s="13">
        <v>8</v>
      </c>
      <c r="L285" s="13">
        <v>25</v>
      </c>
      <c r="M285" s="33" t="s">
        <v>17</v>
      </c>
    </row>
    <row r="286" spans="1:13" x14ac:dyDescent="0.35">
      <c r="A286" s="33" t="s">
        <v>311</v>
      </c>
      <c r="B286" s="13">
        <v>46</v>
      </c>
      <c r="C286" s="33" t="s">
        <v>19</v>
      </c>
      <c r="D286" s="33" t="s">
        <v>25</v>
      </c>
      <c r="E286" s="33" t="s">
        <v>21</v>
      </c>
      <c r="F286" s="13">
        <v>19</v>
      </c>
      <c r="G286" s="34">
        <v>82700</v>
      </c>
      <c r="H286" s="13">
        <v>1</v>
      </c>
      <c r="I286" s="13">
        <v>2</v>
      </c>
      <c r="J286" s="33" t="s">
        <v>32</v>
      </c>
      <c r="K286" s="13">
        <v>11</v>
      </c>
      <c r="L286" s="13">
        <v>6</v>
      </c>
      <c r="M286" s="33" t="s">
        <v>32</v>
      </c>
    </row>
    <row r="287" spans="1:13" x14ac:dyDescent="0.35">
      <c r="A287" s="33" t="s">
        <v>312</v>
      </c>
      <c r="B287" s="13">
        <v>60</v>
      </c>
      <c r="C287" s="33" t="s">
        <v>14</v>
      </c>
      <c r="D287" s="33" t="s">
        <v>30</v>
      </c>
      <c r="E287" s="33" t="s">
        <v>16</v>
      </c>
      <c r="F287" s="13">
        <v>37</v>
      </c>
      <c r="G287" s="34">
        <v>138000</v>
      </c>
      <c r="H287" s="13">
        <v>4</v>
      </c>
      <c r="I287" s="13">
        <v>2</v>
      </c>
      <c r="J287" s="33" t="s">
        <v>32</v>
      </c>
      <c r="K287" s="13">
        <v>3</v>
      </c>
      <c r="L287" s="13">
        <v>22</v>
      </c>
      <c r="M287" s="33" t="s">
        <v>32</v>
      </c>
    </row>
    <row r="288" spans="1:13" x14ac:dyDescent="0.35">
      <c r="A288" s="33" t="s">
        <v>313</v>
      </c>
      <c r="B288" s="13">
        <v>56</v>
      </c>
      <c r="C288" s="33" t="s">
        <v>14</v>
      </c>
      <c r="D288" s="33" t="s">
        <v>25</v>
      </c>
      <c r="E288" s="33" t="s">
        <v>21</v>
      </c>
      <c r="F288" s="13">
        <v>31</v>
      </c>
      <c r="G288" s="34">
        <v>102400</v>
      </c>
      <c r="H288" s="13">
        <v>3</v>
      </c>
      <c r="I288" s="13">
        <v>3</v>
      </c>
      <c r="J288" s="33" t="s">
        <v>32</v>
      </c>
      <c r="K288" s="13">
        <v>8</v>
      </c>
      <c r="L288" s="13">
        <v>25</v>
      </c>
      <c r="M288" s="33" t="s">
        <v>17</v>
      </c>
    </row>
    <row r="289" spans="1:13" x14ac:dyDescent="0.35">
      <c r="A289" s="33" t="s">
        <v>314</v>
      </c>
      <c r="B289" s="13">
        <v>24</v>
      </c>
      <c r="C289" s="33" t="s">
        <v>19</v>
      </c>
      <c r="D289" s="33" t="s">
        <v>25</v>
      </c>
      <c r="E289" s="33" t="s">
        <v>16</v>
      </c>
      <c r="F289" s="13">
        <v>0</v>
      </c>
      <c r="G289" s="34">
        <v>55100</v>
      </c>
      <c r="H289" s="13">
        <v>4</v>
      </c>
      <c r="I289" s="13">
        <v>2</v>
      </c>
      <c r="J289" s="33" t="s">
        <v>17</v>
      </c>
      <c r="K289" s="13">
        <v>11</v>
      </c>
      <c r="L289" s="13">
        <v>16</v>
      </c>
      <c r="M289" s="33" t="s">
        <v>17</v>
      </c>
    </row>
    <row r="290" spans="1:13" x14ac:dyDescent="0.35">
      <c r="A290" s="33" t="s">
        <v>315</v>
      </c>
      <c r="B290" s="13">
        <v>58</v>
      </c>
      <c r="C290" s="33" t="s">
        <v>19</v>
      </c>
      <c r="D290" s="33" t="s">
        <v>15</v>
      </c>
      <c r="E290" s="33" t="s">
        <v>21</v>
      </c>
      <c r="F290" s="13">
        <v>28</v>
      </c>
      <c r="G290" s="34">
        <v>107300</v>
      </c>
      <c r="H290" s="13">
        <v>2</v>
      </c>
      <c r="I290" s="13">
        <v>3</v>
      </c>
      <c r="J290" s="33" t="s">
        <v>17</v>
      </c>
      <c r="K290" s="13">
        <v>13</v>
      </c>
      <c r="L290" s="13">
        <v>36</v>
      </c>
      <c r="M290" s="33" t="s">
        <v>17</v>
      </c>
    </row>
    <row r="291" spans="1:13" x14ac:dyDescent="0.35">
      <c r="A291" s="33" t="s">
        <v>316</v>
      </c>
      <c r="B291" s="13">
        <v>51</v>
      </c>
      <c r="C291" s="33" t="s">
        <v>14</v>
      </c>
      <c r="D291" s="33" t="s">
        <v>25</v>
      </c>
      <c r="E291" s="33" t="s">
        <v>21</v>
      </c>
      <c r="F291" s="13">
        <v>28</v>
      </c>
      <c r="G291" s="34">
        <v>92800</v>
      </c>
      <c r="H291" s="13">
        <v>4</v>
      </c>
      <c r="I291" s="13">
        <v>3</v>
      </c>
      <c r="J291" s="33" t="s">
        <v>17</v>
      </c>
      <c r="K291" s="13">
        <v>6</v>
      </c>
      <c r="L291" s="13">
        <v>17</v>
      </c>
      <c r="M291" s="33" t="s">
        <v>17</v>
      </c>
    </row>
    <row r="292" spans="1:13" x14ac:dyDescent="0.35">
      <c r="A292" s="33" t="s">
        <v>317</v>
      </c>
      <c r="B292" s="13">
        <v>59</v>
      </c>
      <c r="C292" s="33" t="s">
        <v>14</v>
      </c>
      <c r="D292" s="33" t="s">
        <v>30</v>
      </c>
      <c r="E292" s="33" t="s">
        <v>21</v>
      </c>
      <c r="F292" s="13">
        <v>35</v>
      </c>
      <c r="G292" s="34">
        <v>106100</v>
      </c>
      <c r="H292" s="13">
        <v>3</v>
      </c>
      <c r="I292" s="13">
        <v>3</v>
      </c>
      <c r="J292" s="33" t="s">
        <v>32</v>
      </c>
      <c r="K292" s="13">
        <v>7</v>
      </c>
      <c r="L292" s="13">
        <v>35</v>
      </c>
      <c r="M292" s="33" t="s">
        <v>17</v>
      </c>
    </row>
    <row r="293" spans="1:13" x14ac:dyDescent="0.35">
      <c r="A293" s="33" t="s">
        <v>318</v>
      </c>
      <c r="B293" s="13">
        <v>55</v>
      </c>
      <c r="C293" s="33" t="s">
        <v>14</v>
      </c>
      <c r="D293" s="33" t="s">
        <v>30</v>
      </c>
      <c r="E293" s="33" t="s">
        <v>21</v>
      </c>
      <c r="F293" s="13">
        <v>26</v>
      </c>
      <c r="G293" s="34">
        <v>97600</v>
      </c>
      <c r="H293" s="13">
        <v>4</v>
      </c>
      <c r="I293" s="13">
        <v>3</v>
      </c>
      <c r="J293" s="33" t="s">
        <v>17</v>
      </c>
      <c r="K293" s="13">
        <v>7</v>
      </c>
      <c r="L293" s="13">
        <v>29</v>
      </c>
      <c r="M293" s="33" t="s">
        <v>17</v>
      </c>
    </row>
    <row r="294" spans="1:13" x14ac:dyDescent="0.35">
      <c r="A294" s="33" t="s">
        <v>319</v>
      </c>
      <c r="B294" s="13">
        <v>33</v>
      </c>
      <c r="C294" s="33" t="s">
        <v>14</v>
      </c>
      <c r="D294" s="33" t="s">
        <v>20</v>
      </c>
      <c r="E294" s="33" t="s">
        <v>16</v>
      </c>
      <c r="F294" s="13">
        <v>6</v>
      </c>
      <c r="G294" s="34">
        <v>49800</v>
      </c>
      <c r="H294" s="13">
        <v>1</v>
      </c>
      <c r="I294" s="13">
        <v>3</v>
      </c>
      <c r="J294" s="33" t="s">
        <v>17</v>
      </c>
      <c r="K294" s="13">
        <v>7</v>
      </c>
      <c r="L294" s="13">
        <v>33</v>
      </c>
      <c r="M294" s="33" t="s">
        <v>17</v>
      </c>
    </row>
    <row r="295" spans="1:13" x14ac:dyDescent="0.35">
      <c r="A295" s="33" t="s">
        <v>320</v>
      </c>
      <c r="B295" s="13">
        <v>40</v>
      </c>
      <c r="C295" s="33" t="s">
        <v>14</v>
      </c>
      <c r="D295" s="33" t="s">
        <v>15</v>
      </c>
      <c r="E295" s="33" t="s">
        <v>21</v>
      </c>
      <c r="F295" s="13">
        <v>19</v>
      </c>
      <c r="G295" s="34">
        <v>87400</v>
      </c>
      <c r="H295" s="13">
        <v>4</v>
      </c>
      <c r="I295" s="13">
        <v>4</v>
      </c>
      <c r="J295" s="33" t="s">
        <v>17</v>
      </c>
      <c r="K295" s="13">
        <v>12</v>
      </c>
      <c r="L295" s="13">
        <v>14</v>
      </c>
      <c r="M295" s="33" t="s">
        <v>17</v>
      </c>
    </row>
    <row r="296" spans="1:13" x14ac:dyDescent="0.35">
      <c r="A296" s="33" t="s">
        <v>321</v>
      </c>
      <c r="B296" s="13">
        <v>58</v>
      </c>
      <c r="C296" s="33" t="s">
        <v>19</v>
      </c>
      <c r="D296" s="33" t="s">
        <v>27</v>
      </c>
      <c r="E296" s="33" t="s">
        <v>21</v>
      </c>
      <c r="F296" s="13">
        <v>34</v>
      </c>
      <c r="G296" s="34">
        <v>125900</v>
      </c>
      <c r="H296" s="13">
        <v>4</v>
      </c>
      <c r="I296" s="13">
        <v>5</v>
      </c>
      <c r="J296" s="33" t="s">
        <v>17</v>
      </c>
      <c r="K296" s="13">
        <v>2</v>
      </c>
      <c r="L296" s="13">
        <v>28</v>
      </c>
      <c r="M296" s="33" t="s">
        <v>17</v>
      </c>
    </row>
    <row r="297" spans="1:13" x14ac:dyDescent="0.35">
      <c r="A297" s="33" t="s">
        <v>322</v>
      </c>
      <c r="B297" s="13">
        <v>38</v>
      </c>
      <c r="C297" s="33" t="s">
        <v>19</v>
      </c>
      <c r="D297" s="33" t="s">
        <v>25</v>
      </c>
      <c r="E297" s="33" t="s">
        <v>16</v>
      </c>
      <c r="F297" s="13">
        <v>14</v>
      </c>
      <c r="G297" s="34">
        <v>71700</v>
      </c>
      <c r="H297" s="13">
        <v>4</v>
      </c>
      <c r="I297" s="13">
        <v>3</v>
      </c>
      <c r="J297" s="33" t="s">
        <v>32</v>
      </c>
      <c r="K297" s="13">
        <v>6</v>
      </c>
      <c r="L297" s="13">
        <v>21</v>
      </c>
      <c r="M297" s="33" t="s">
        <v>17</v>
      </c>
    </row>
    <row r="298" spans="1:13" x14ac:dyDescent="0.35">
      <c r="A298" s="33" t="s">
        <v>323</v>
      </c>
      <c r="B298" s="13">
        <v>31</v>
      </c>
      <c r="C298" s="33" t="s">
        <v>19</v>
      </c>
      <c r="D298" s="33" t="s">
        <v>20</v>
      </c>
      <c r="E298" s="33" t="s">
        <v>21</v>
      </c>
      <c r="F298" s="13">
        <v>2</v>
      </c>
      <c r="G298" s="34">
        <v>49600</v>
      </c>
      <c r="H298" s="13">
        <v>4</v>
      </c>
      <c r="I298" s="13">
        <v>4</v>
      </c>
      <c r="J298" s="33" t="s">
        <v>17</v>
      </c>
      <c r="K298" s="13">
        <v>2</v>
      </c>
      <c r="L298" s="13">
        <v>10</v>
      </c>
      <c r="M298" s="33" t="s">
        <v>17</v>
      </c>
    </row>
    <row r="299" spans="1:13" x14ac:dyDescent="0.35">
      <c r="A299" s="33" t="s">
        <v>324</v>
      </c>
      <c r="B299" s="13">
        <v>33</v>
      </c>
      <c r="C299" s="33" t="s">
        <v>19</v>
      </c>
      <c r="D299" s="33" t="s">
        <v>27</v>
      </c>
      <c r="E299" s="33" t="s">
        <v>21</v>
      </c>
      <c r="F299" s="13">
        <v>7</v>
      </c>
      <c r="G299" s="34">
        <v>46900</v>
      </c>
      <c r="H299" s="13">
        <v>4</v>
      </c>
      <c r="I299" s="13">
        <v>5</v>
      </c>
      <c r="J299" s="33" t="s">
        <v>32</v>
      </c>
      <c r="K299" s="13">
        <v>3</v>
      </c>
      <c r="L299" s="13">
        <v>40</v>
      </c>
      <c r="M299" s="33" t="s">
        <v>17</v>
      </c>
    </row>
    <row r="300" spans="1:13" x14ac:dyDescent="0.35">
      <c r="A300" s="33" t="s">
        <v>325</v>
      </c>
      <c r="B300" s="13">
        <v>37</v>
      </c>
      <c r="C300" s="33" t="s">
        <v>14</v>
      </c>
      <c r="D300" s="33" t="s">
        <v>25</v>
      </c>
      <c r="E300" s="33" t="s">
        <v>16</v>
      </c>
      <c r="F300" s="13">
        <v>8</v>
      </c>
      <c r="G300" s="34">
        <v>56900</v>
      </c>
      <c r="H300" s="13">
        <v>4</v>
      </c>
      <c r="I300" s="13">
        <v>4</v>
      </c>
      <c r="J300" s="33" t="s">
        <v>17</v>
      </c>
      <c r="K300" s="13">
        <v>8</v>
      </c>
      <c r="L300" s="13">
        <v>17</v>
      </c>
      <c r="M300" s="33" t="s">
        <v>17</v>
      </c>
    </row>
    <row r="301" spans="1:13" x14ac:dyDescent="0.35">
      <c r="A301" s="33" t="s">
        <v>326</v>
      </c>
      <c r="B301" s="13">
        <v>45</v>
      </c>
      <c r="C301" s="33" t="s">
        <v>14</v>
      </c>
      <c r="D301" s="33" t="s">
        <v>30</v>
      </c>
      <c r="E301" s="33" t="s">
        <v>16</v>
      </c>
      <c r="F301" s="13">
        <v>19</v>
      </c>
      <c r="G301" s="34">
        <v>74900</v>
      </c>
      <c r="H301" s="13">
        <v>3</v>
      </c>
      <c r="I301" s="13">
        <v>3</v>
      </c>
      <c r="J301" s="33" t="s">
        <v>17</v>
      </c>
      <c r="K301" s="13">
        <v>9</v>
      </c>
      <c r="L301" s="13">
        <v>15</v>
      </c>
      <c r="M301" s="33" t="s">
        <v>32</v>
      </c>
    </row>
    <row r="302" spans="1:13" x14ac:dyDescent="0.35">
      <c r="A302" s="4"/>
      <c r="B302" s="2"/>
      <c r="C302" s="6"/>
      <c r="D302" s="6"/>
      <c r="E302" s="6"/>
      <c r="F302" s="1"/>
      <c r="G302" s="7"/>
      <c r="H302" s="1"/>
      <c r="I302" s="1"/>
      <c r="J302" s="6"/>
      <c r="K302" s="1"/>
      <c r="L302" s="1"/>
      <c r="M302" s="6"/>
    </row>
    <row r="303" spans="1:13" x14ac:dyDescent="0.35">
      <c r="A303" s="4"/>
      <c r="B303" s="2"/>
      <c r="C303" s="6"/>
      <c r="D303" s="6"/>
      <c r="E303" s="6"/>
      <c r="F303" s="1"/>
      <c r="G303" s="7"/>
      <c r="H303" s="1"/>
      <c r="I303" s="1"/>
      <c r="J303" s="6"/>
      <c r="K303" s="1"/>
      <c r="L303" s="1"/>
      <c r="M303" s="6"/>
    </row>
    <row r="304" spans="1:13" x14ac:dyDescent="0.35">
      <c r="A304" s="4"/>
      <c r="B304" s="2"/>
      <c r="C304" s="4"/>
      <c r="D304" s="4"/>
      <c r="E304" s="4"/>
      <c r="F304" s="2"/>
      <c r="G304" s="8"/>
      <c r="H304" s="2"/>
      <c r="I304" s="2"/>
      <c r="J304" s="4"/>
      <c r="K304" s="2"/>
      <c r="L304" s="2"/>
      <c r="M304" s="4"/>
    </row>
    <row r="305" spans="1:13" x14ac:dyDescent="0.35">
      <c r="A305" s="4"/>
      <c r="B305" s="2"/>
      <c r="C305" s="4"/>
      <c r="D305" s="4"/>
      <c r="E305" s="4"/>
      <c r="F305" s="2"/>
      <c r="G305" s="8"/>
      <c r="H305" s="2"/>
      <c r="I305" s="2"/>
      <c r="J305" s="4"/>
      <c r="K305" s="2"/>
      <c r="L305" s="2"/>
      <c r="M305" s="4"/>
    </row>
    <row r="306" spans="1:13" x14ac:dyDescent="0.35">
      <c r="A306" s="4"/>
      <c r="B306" s="2"/>
      <c r="C306" s="4"/>
      <c r="D306" s="4"/>
      <c r="E306" s="4"/>
      <c r="F306" s="2"/>
      <c r="G306" s="8"/>
      <c r="H306" s="2"/>
      <c r="I306" s="2"/>
      <c r="J306" s="4"/>
      <c r="K306" s="2"/>
      <c r="L306" s="2"/>
      <c r="M306" s="4"/>
    </row>
    <row r="307" spans="1:13" x14ac:dyDescent="0.35">
      <c r="A307" s="4"/>
      <c r="B307" s="2"/>
      <c r="C307" s="4"/>
      <c r="D307" s="4"/>
      <c r="E307" s="4"/>
      <c r="F307" s="2"/>
      <c r="G307" s="8"/>
      <c r="H307" s="2"/>
      <c r="I307" s="2"/>
      <c r="J307" s="4"/>
      <c r="K307" s="2"/>
      <c r="L307" s="2"/>
      <c r="M307" s="4"/>
    </row>
    <row r="308" spans="1:13" x14ac:dyDescent="0.35">
      <c r="A308" s="4"/>
      <c r="B308" s="2"/>
      <c r="C308" s="4"/>
      <c r="D308" s="4"/>
      <c r="E308" s="4"/>
      <c r="F308" s="2"/>
      <c r="G308" s="8"/>
      <c r="H308" s="2"/>
      <c r="I308" s="2"/>
      <c r="J308" s="4"/>
      <c r="K308" s="2"/>
      <c r="L308" s="2"/>
      <c r="M308" s="4"/>
    </row>
    <row r="309" spans="1:13" x14ac:dyDescent="0.35">
      <c r="A309" s="4"/>
      <c r="B309" s="2"/>
      <c r="C309" s="4"/>
      <c r="D309" s="4"/>
      <c r="E309" s="4"/>
      <c r="F309" s="2"/>
      <c r="G309" s="8"/>
      <c r="H309" s="2"/>
      <c r="I309" s="2"/>
      <c r="J309" s="4"/>
      <c r="K309" s="2"/>
      <c r="L309" s="2"/>
      <c r="M309" s="4"/>
    </row>
    <row r="310" spans="1:13" x14ac:dyDescent="0.35">
      <c r="A310" s="4"/>
      <c r="B310" s="2"/>
      <c r="C310" s="4"/>
      <c r="D310" s="4"/>
      <c r="E310" s="4"/>
      <c r="F310" s="2"/>
      <c r="G310" s="8"/>
      <c r="H310" s="2"/>
      <c r="I310" s="2"/>
      <c r="J310" s="4"/>
      <c r="K310" s="2"/>
      <c r="L310" s="2"/>
      <c r="M310" s="4"/>
    </row>
    <row r="311" spans="1:13" x14ac:dyDescent="0.35">
      <c r="A311" s="4"/>
      <c r="B311" s="2"/>
      <c r="C311" s="4"/>
      <c r="D311" s="4"/>
      <c r="E311" s="4"/>
      <c r="F311" s="2"/>
      <c r="G311" s="8"/>
      <c r="H311" s="2"/>
      <c r="I311" s="2"/>
      <c r="J311" s="4"/>
      <c r="K311" s="2"/>
      <c r="L311" s="2"/>
      <c r="M311" s="4"/>
    </row>
    <row r="312" spans="1:13" x14ac:dyDescent="0.35">
      <c r="A312" s="4"/>
      <c r="B312" s="2"/>
      <c r="C312" s="4"/>
      <c r="D312" s="4"/>
      <c r="E312" s="4"/>
      <c r="F312" s="2"/>
      <c r="G312" s="8"/>
      <c r="H312" s="2"/>
      <c r="I312" s="2"/>
      <c r="J312" s="4"/>
      <c r="K312" s="2"/>
      <c r="L312" s="2"/>
      <c r="M312" s="4"/>
    </row>
    <row r="313" spans="1:13" x14ac:dyDescent="0.35">
      <c r="A313" s="4"/>
      <c r="B313" s="2"/>
      <c r="C313" s="4"/>
      <c r="D313" s="4"/>
      <c r="E313" s="4"/>
      <c r="F313" s="2"/>
      <c r="G313" s="8"/>
      <c r="H313" s="2"/>
      <c r="I313" s="2"/>
      <c r="J313" s="4"/>
      <c r="K313" s="2"/>
      <c r="L313" s="2"/>
      <c r="M313" s="4"/>
    </row>
    <row r="314" spans="1:13" x14ac:dyDescent="0.35">
      <c r="A314" s="4"/>
      <c r="B314" s="2"/>
      <c r="C314" s="4"/>
      <c r="D314" s="4"/>
      <c r="E314" s="4"/>
      <c r="F314" s="2"/>
      <c r="G314" s="8"/>
      <c r="H314" s="2"/>
      <c r="I314" s="2"/>
      <c r="J314" s="4"/>
      <c r="K314" s="2"/>
      <c r="L314" s="2"/>
      <c r="M314" s="4"/>
    </row>
    <row r="315" spans="1:13" x14ac:dyDescent="0.35">
      <c r="A315" s="4"/>
      <c r="B315" s="2"/>
      <c r="C315" s="4"/>
      <c r="D315" s="4"/>
      <c r="E315" s="4"/>
      <c r="F315" s="2"/>
      <c r="G315" s="8"/>
      <c r="H315" s="2"/>
      <c r="I315" s="2"/>
      <c r="J315" s="4"/>
      <c r="K315" s="2"/>
      <c r="L315" s="2"/>
      <c r="M315" s="4"/>
    </row>
    <row r="316" spans="1:13" x14ac:dyDescent="0.35">
      <c r="A316" s="4"/>
      <c r="B316" s="2"/>
      <c r="C316" s="4"/>
      <c r="D316" s="4"/>
      <c r="E316" s="4"/>
      <c r="F316" s="2"/>
      <c r="G316" s="8"/>
      <c r="H316" s="2"/>
      <c r="I316" s="2"/>
      <c r="J316" s="4"/>
      <c r="K316" s="2"/>
      <c r="L316" s="2"/>
      <c r="M316" s="4"/>
    </row>
    <row r="317" spans="1:13" x14ac:dyDescent="0.35">
      <c r="A317" s="4"/>
      <c r="B317" s="2"/>
      <c r="C317" s="4"/>
      <c r="D317" s="4"/>
      <c r="E317" s="4"/>
      <c r="F317" s="2"/>
      <c r="G317" s="8"/>
      <c r="H317" s="2"/>
      <c r="I317" s="2"/>
      <c r="J317" s="4"/>
      <c r="K317" s="2"/>
      <c r="L317" s="2"/>
      <c r="M317" s="4"/>
    </row>
    <row r="318" spans="1:13" x14ac:dyDescent="0.35">
      <c r="A318" s="4"/>
      <c r="B318" s="2"/>
      <c r="C318" s="4"/>
      <c r="D318" s="4"/>
      <c r="E318" s="4"/>
      <c r="F318" s="2"/>
      <c r="G318" s="8"/>
      <c r="H318" s="2"/>
      <c r="I318" s="2"/>
      <c r="J318" s="4"/>
      <c r="K318" s="2"/>
      <c r="L318" s="2"/>
      <c r="M318" s="4"/>
    </row>
    <row r="319" spans="1:13" x14ac:dyDescent="0.35">
      <c r="A319" s="4"/>
      <c r="B319" s="2"/>
      <c r="C319" s="4"/>
      <c r="D319" s="4"/>
      <c r="E319" s="4"/>
      <c r="F319" s="2"/>
      <c r="G319" s="8"/>
      <c r="H319" s="2"/>
      <c r="I319" s="2"/>
      <c r="J319" s="4"/>
      <c r="K319" s="2"/>
      <c r="L319" s="2"/>
      <c r="M319" s="4"/>
    </row>
    <row r="320" spans="1:13" x14ac:dyDescent="0.35">
      <c r="A320" s="4"/>
      <c r="B320" s="2"/>
      <c r="C320" s="4"/>
      <c r="D320" s="4"/>
      <c r="E320" s="4"/>
      <c r="F320" s="2"/>
      <c r="G320" s="8"/>
      <c r="H320" s="2"/>
      <c r="I320" s="2"/>
      <c r="J320" s="4"/>
      <c r="K320" s="2"/>
      <c r="L320" s="2"/>
      <c r="M320" s="4"/>
    </row>
    <row r="321" spans="1:13" x14ac:dyDescent="0.35">
      <c r="A321" s="4"/>
      <c r="B321" s="2"/>
      <c r="C321" s="4"/>
      <c r="D321" s="4"/>
      <c r="E321" s="4"/>
      <c r="F321" s="2"/>
      <c r="G321" s="8"/>
      <c r="H321" s="2"/>
      <c r="I321" s="2"/>
      <c r="J321" s="4"/>
      <c r="K321" s="2"/>
      <c r="L321" s="2"/>
      <c r="M321" s="4"/>
    </row>
    <row r="322" spans="1:13" x14ac:dyDescent="0.35">
      <c r="A322" s="4"/>
      <c r="B322" s="2"/>
      <c r="C322" s="4"/>
      <c r="D322" s="4"/>
      <c r="E322" s="4"/>
      <c r="F322" s="2"/>
      <c r="G322" s="8"/>
      <c r="H322" s="2"/>
      <c r="I322" s="2"/>
      <c r="J322" s="4"/>
      <c r="K322" s="2"/>
      <c r="L322" s="2"/>
      <c r="M322" s="4"/>
    </row>
    <row r="323" spans="1:13" x14ac:dyDescent="0.35">
      <c r="A323" s="4"/>
      <c r="B323" s="2"/>
      <c r="C323" s="4"/>
      <c r="D323" s="4"/>
      <c r="E323" s="4"/>
      <c r="F323" s="2"/>
      <c r="G323" s="8"/>
      <c r="H323" s="2"/>
      <c r="I323" s="2"/>
      <c r="J323" s="4"/>
      <c r="K323" s="2"/>
      <c r="L323" s="2"/>
      <c r="M323" s="4"/>
    </row>
    <row r="324" spans="1:13" x14ac:dyDescent="0.35">
      <c r="A324" s="4"/>
      <c r="B324" s="2"/>
      <c r="C324" s="4"/>
      <c r="D324" s="4"/>
      <c r="E324" s="4"/>
      <c r="F324" s="2"/>
      <c r="G324" s="8"/>
      <c r="H324" s="2"/>
      <c r="I324" s="2"/>
      <c r="J324" s="4"/>
      <c r="K324" s="2"/>
      <c r="L324" s="2"/>
      <c r="M324" s="4"/>
    </row>
    <row r="325" spans="1:13" x14ac:dyDescent="0.35">
      <c r="A325" s="4"/>
      <c r="B325" s="2"/>
      <c r="C325" s="4"/>
      <c r="D325" s="4"/>
      <c r="E325" s="4"/>
      <c r="F325" s="2"/>
      <c r="G325" s="8"/>
      <c r="H325" s="2"/>
      <c r="I325" s="2"/>
      <c r="J325" s="4"/>
      <c r="K325" s="2"/>
      <c r="L325" s="2"/>
      <c r="M325" s="4"/>
    </row>
    <row r="326" spans="1:13" x14ac:dyDescent="0.35">
      <c r="A326" s="4"/>
      <c r="B326" s="2"/>
      <c r="C326" s="4"/>
      <c r="D326" s="4"/>
      <c r="E326" s="4"/>
      <c r="F326" s="2"/>
      <c r="G326" s="8"/>
      <c r="H326" s="2"/>
      <c r="I326" s="2"/>
      <c r="J326" s="4"/>
      <c r="K326" s="2"/>
      <c r="L326" s="2"/>
      <c r="M326" s="4"/>
    </row>
    <row r="327" spans="1:13" x14ac:dyDescent="0.35">
      <c r="A327" s="4"/>
      <c r="B327" s="2"/>
      <c r="C327" s="4"/>
      <c r="D327" s="4"/>
      <c r="E327" s="4"/>
      <c r="F327" s="2"/>
      <c r="G327" s="8"/>
      <c r="H327" s="2"/>
      <c r="I327" s="2"/>
      <c r="J327" s="4"/>
      <c r="K327" s="2"/>
      <c r="L327" s="2"/>
      <c r="M327" s="4"/>
    </row>
    <row r="328" spans="1:13" x14ac:dyDescent="0.35">
      <c r="A328" s="4"/>
      <c r="B328" s="2"/>
      <c r="C328" s="4"/>
      <c r="D328" s="4"/>
      <c r="E328" s="4"/>
      <c r="F328" s="2"/>
      <c r="G328" s="8"/>
      <c r="H328" s="2"/>
      <c r="I328" s="2"/>
      <c r="J328" s="4"/>
      <c r="K328" s="2"/>
      <c r="L328" s="2"/>
      <c r="M328" s="4"/>
    </row>
    <row r="329" spans="1:13" x14ac:dyDescent="0.35">
      <c r="A329" s="4"/>
      <c r="B329" s="2"/>
      <c r="C329" s="4"/>
      <c r="D329" s="4"/>
      <c r="E329" s="4"/>
      <c r="F329" s="2"/>
      <c r="G329" s="8"/>
      <c r="H329" s="2"/>
      <c r="I329" s="2"/>
      <c r="J329" s="4"/>
      <c r="K329" s="2"/>
      <c r="L329" s="2"/>
      <c r="M329" s="4"/>
    </row>
    <row r="330" spans="1:13" x14ac:dyDescent="0.35">
      <c r="A330" s="4"/>
      <c r="B330" s="2"/>
      <c r="C330" s="4"/>
      <c r="D330" s="4"/>
      <c r="E330" s="4"/>
      <c r="F330" s="2"/>
      <c r="G330" s="8"/>
      <c r="H330" s="2"/>
      <c r="I330" s="2"/>
      <c r="J330" s="4"/>
      <c r="K330" s="2"/>
      <c r="L330" s="2"/>
      <c r="M330" s="4"/>
    </row>
    <row r="331" spans="1:13" x14ac:dyDescent="0.35">
      <c r="A331" s="4"/>
      <c r="B331" s="2"/>
      <c r="C331" s="4"/>
      <c r="D331" s="4"/>
      <c r="E331" s="4"/>
      <c r="F331" s="2"/>
      <c r="G331" s="8"/>
      <c r="H331" s="2"/>
      <c r="I331" s="2"/>
      <c r="J331" s="4"/>
      <c r="K331" s="2"/>
      <c r="L331" s="2"/>
      <c r="M331" s="4"/>
    </row>
    <row r="332" spans="1:13" x14ac:dyDescent="0.35">
      <c r="A332" s="4"/>
      <c r="B332" s="2"/>
      <c r="C332" s="4"/>
      <c r="D332" s="4"/>
      <c r="E332" s="4"/>
      <c r="F332" s="2"/>
      <c r="G332" s="8"/>
      <c r="H332" s="2"/>
      <c r="I332" s="2"/>
      <c r="J332" s="4"/>
      <c r="K332" s="2"/>
      <c r="L332" s="2"/>
      <c r="M332" s="4"/>
    </row>
    <row r="333" spans="1:13" x14ac:dyDescent="0.35">
      <c r="A333" s="4"/>
      <c r="B333" s="2"/>
      <c r="C333" s="4"/>
      <c r="D333" s="4"/>
      <c r="E333" s="4"/>
      <c r="F333" s="2"/>
      <c r="G333" s="8"/>
      <c r="H333" s="2"/>
      <c r="I333" s="2"/>
      <c r="J333" s="4"/>
      <c r="K333" s="2"/>
      <c r="L333" s="2"/>
      <c r="M333" s="4"/>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334C-6CCF-448E-BFD8-1EBDC90BE931}">
  <dimension ref="A1:C34"/>
  <sheetViews>
    <sheetView workbookViewId="0">
      <selection activeCell="B23" sqref="B23"/>
    </sheetView>
  </sheetViews>
  <sheetFormatPr defaultRowHeight="14.5" x14ac:dyDescent="0.35"/>
  <cols>
    <col min="1" max="1" width="69.1796875" style="10" customWidth="1"/>
    <col min="2" max="2" width="22.54296875" style="10" customWidth="1"/>
    <col min="3" max="3" width="13.6328125" style="10" bestFit="1" customWidth="1"/>
  </cols>
  <sheetData>
    <row r="1" spans="1:3" x14ac:dyDescent="0.35">
      <c r="A1" s="11" t="s">
        <v>329</v>
      </c>
      <c r="B1" s="11" t="s">
        <v>327</v>
      </c>
      <c r="C1" s="11" t="s">
        <v>328</v>
      </c>
    </row>
    <row r="2" spans="1:3" x14ac:dyDescent="0.35">
      <c r="A2" s="10" t="s">
        <v>330</v>
      </c>
      <c r="B2" s="17">
        <f>COUNTIFS(Data!D2:D301,"IT",Data!J2:J301,"YES")</f>
        <v>17</v>
      </c>
      <c r="C2" s="13">
        <v>17</v>
      </c>
    </row>
    <row r="3" spans="1:3" x14ac:dyDescent="0.35">
      <c r="A3" s="10" t="s">
        <v>332</v>
      </c>
      <c r="B3" s="17">
        <f>COUNTIFS(Data!D2:D301,"Sales",Data!H2:H301,"&lt;=2")</f>
        <v>14</v>
      </c>
      <c r="C3" s="13">
        <v>14</v>
      </c>
    </row>
    <row r="4" spans="1:3" x14ac:dyDescent="0.35">
      <c r="A4" s="10" t="s">
        <v>331</v>
      </c>
      <c r="B4" s="17">
        <f>COUNTIFS(Data!J2:J301,"YES",Data!H2:H301,"&lt;=2")</f>
        <v>25</v>
      </c>
      <c r="C4" s="13">
        <v>25</v>
      </c>
    </row>
    <row r="5" spans="1:3" x14ac:dyDescent="0.35">
      <c r="A5" s="10" t="s">
        <v>333</v>
      </c>
      <c r="B5" s="17">
        <f>SUMIF(Data!D2:D301,"IT",Data!G2:G301)</f>
        <v>4263800</v>
      </c>
      <c r="C5" s="14">
        <v>4263800</v>
      </c>
    </row>
    <row r="6" spans="1:3" x14ac:dyDescent="0.35">
      <c r="A6" s="10" t="s">
        <v>334</v>
      </c>
      <c r="B6" s="17">
        <f>SUMIF(Data!J2:J301,"Yes",Data!G2:G301)</f>
        <v>9123100</v>
      </c>
      <c r="C6" s="15">
        <v>9123100</v>
      </c>
    </row>
    <row r="7" spans="1:3" x14ac:dyDescent="0.35">
      <c r="A7" s="10" t="s">
        <v>335</v>
      </c>
      <c r="B7" s="17">
        <f>SUMIFS(Data!G2:G301,Data!D2:D301,"SALES",Data!H2:H301,"&lt;=2")</f>
        <v>1233100</v>
      </c>
      <c r="C7" s="15">
        <v>1233100</v>
      </c>
    </row>
    <row r="8" spans="1:3" x14ac:dyDescent="0.35">
      <c r="A8" s="10" t="s">
        <v>353</v>
      </c>
      <c r="B8" s="17">
        <f>AVERAGEIF(Data!J2:J301,"YES",Data!G2:G301)</f>
        <v>82190.090090090089</v>
      </c>
      <c r="C8" s="15">
        <v>82190.090089999998</v>
      </c>
    </row>
    <row r="9" spans="1:3" x14ac:dyDescent="0.35">
      <c r="A9" s="10" t="s">
        <v>354</v>
      </c>
      <c r="B9" s="17">
        <f>AVERAGEIFS(Data!G2:G301,Data!D2:D301,"SALES",Data!H2:H301,"&lt;=2")</f>
        <v>88078.571428571435</v>
      </c>
      <c r="C9" s="14">
        <v>88078.571429999996</v>
      </c>
    </row>
    <row r="10" spans="1:3" x14ac:dyDescent="0.35">
      <c r="A10" s="10" t="s">
        <v>336</v>
      </c>
      <c r="B10" s="17">
        <f>AVERAGEIFS(Data!G2:G301,Data!D2:D301,"IT")</f>
        <v>81996.153846153844</v>
      </c>
      <c r="C10" s="14">
        <v>81996.153850000002</v>
      </c>
    </row>
    <row r="11" spans="1:3" x14ac:dyDescent="0.35">
      <c r="A11" s="10" t="s">
        <v>337</v>
      </c>
      <c r="B11" s="17">
        <f>AVERAGEIFS(Data!H2:H301,Data!J2:J301,"YES")</f>
        <v>3.2432432432432434</v>
      </c>
      <c r="C11" s="12">
        <v>3.2432432430000002</v>
      </c>
    </row>
    <row r="12" spans="1:3" x14ac:dyDescent="0.35">
      <c r="A12" s="10" t="s">
        <v>338</v>
      </c>
      <c r="B12" s="17">
        <f>AVERAGEIFS(Data!I2:I301,Data!D2:D301,"SALES",Data!H2:H301,"&lt;=2")</f>
        <v>2.6428571428571428</v>
      </c>
      <c r="C12" s="12">
        <v>2.6428571430000001</v>
      </c>
    </row>
    <row r="13" spans="1:3" x14ac:dyDescent="0.35">
      <c r="A13" s="10" t="s">
        <v>339</v>
      </c>
      <c r="B13" s="17">
        <f>COUNTA(Data!A2:A301)</f>
        <v>300</v>
      </c>
      <c r="C13" s="13">
        <v>300</v>
      </c>
    </row>
    <row r="14" spans="1:3" x14ac:dyDescent="0.35">
      <c r="A14" s="10" t="s">
        <v>352</v>
      </c>
      <c r="B14" s="17">
        <f>AVERAGE(Data!G2:G301)</f>
        <v>78253.666666666672</v>
      </c>
      <c r="C14" s="14">
        <v>78254</v>
      </c>
    </row>
    <row r="15" spans="1:3" x14ac:dyDescent="0.35">
      <c r="A15" s="10" t="s">
        <v>340</v>
      </c>
      <c r="B15" s="28">
        <f>COUNTIF(Data!M2:M301,"YES")/COUNTA(Data!A2:A301)</f>
        <v>7.3333333333333334E-2</v>
      </c>
      <c r="C15" s="16">
        <v>7.3300000000000004E-2</v>
      </c>
    </row>
    <row r="16" spans="1:3" x14ac:dyDescent="0.35">
      <c r="A16" s="10" t="s">
        <v>341</v>
      </c>
      <c r="B16" s="28">
        <f>COUNTIF(Data!J2:J301,"YES")/COUNTA(Data!A2:A301)</f>
        <v>0.37</v>
      </c>
      <c r="C16" s="16">
        <v>0.37</v>
      </c>
    </row>
    <row r="17" spans="1:3" x14ac:dyDescent="0.35">
      <c r="A17" s="10" t="s">
        <v>342</v>
      </c>
      <c r="B17" s="28">
        <f>COUNTIF(Data!H2:H301,"&lt;=2")/COUNTA(Data!A2:A301)</f>
        <v>0.24333333333333335</v>
      </c>
      <c r="C17" s="16">
        <v>0.24333333300000001</v>
      </c>
    </row>
    <row r="18" spans="1:3" x14ac:dyDescent="0.35">
      <c r="A18" s="10" t="s">
        <v>343</v>
      </c>
      <c r="B18" s="17">
        <f>AVERAGEIF(Data!I2:I301,"&gt;=4",Data!G2:G301)</f>
        <v>76570.658682634734</v>
      </c>
      <c r="C18" s="14">
        <v>76570.658679999993</v>
      </c>
    </row>
    <row r="19" spans="1:3" x14ac:dyDescent="0.35">
      <c r="A19" s="10" t="s">
        <v>344</v>
      </c>
      <c r="B19" s="17">
        <f>AVERAGEIF(Data!I2:I301,"&gt;=4",Data!H2:H301)</f>
        <v>3.7125748502994012</v>
      </c>
      <c r="C19" s="12">
        <v>3.7125748500000002</v>
      </c>
    </row>
    <row r="20" spans="1:3" x14ac:dyDescent="0.35">
      <c r="A20" s="10" t="s">
        <v>345</v>
      </c>
      <c r="B20" s="17">
        <f>COUNTIFS(Data!I2:I301,"&gt;=4",Data!J2:J301,"YES")</f>
        <v>67</v>
      </c>
      <c r="C20" s="13">
        <v>67</v>
      </c>
    </row>
    <row r="21" spans="1:3" x14ac:dyDescent="0.35">
      <c r="A21" s="10" t="s">
        <v>346</v>
      </c>
      <c r="B21" s="28">
        <f>COUNTIFS(Data!J2:J301,"YES",Data!M2:M301,"YES")/COUNTIF(Data!J2:J301,"YES")</f>
        <v>9.90990990990991E-2</v>
      </c>
      <c r="C21" s="16">
        <v>9.9099999999999994E-2</v>
      </c>
    </row>
    <row r="22" spans="1:3" x14ac:dyDescent="0.35">
      <c r="A22" s="10" t="s">
        <v>347</v>
      </c>
      <c r="B22" s="28">
        <f>COUNTIFS(Data!J2:J301,"NO",Data!M2:M301,"YES")/COUNTIF(Data!J2:J301,"NO")</f>
        <v>5.8201058201058198E-2</v>
      </c>
      <c r="C22" s="16">
        <v>5.8200000000000002E-2</v>
      </c>
    </row>
    <row r="23" spans="1:3" x14ac:dyDescent="0.35">
      <c r="A23" s="10" t="s">
        <v>348</v>
      </c>
      <c r="B23" s="17">
        <f>AVERAGEIF(Data!M2:M301,"YES",Data!G2:G301)</f>
        <v>75163.636363636368</v>
      </c>
      <c r="C23" s="14">
        <v>75163.636360000004</v>
      </c>
    </row>
    <row r="24" spans="1:3" x14ac:dyDescent="0.35">
      <c r="A24" s="10" t="s">
        <v>349</v>
      </c>
      <c r="B24" s="17">
        <f>AVERAGEIF(Data!M2:M301,"NO",Data!G2:G301)</f>
        <v>78498.201438848919</v>
      </c>
      <c r="C24" s="14">
        <v>78498.201440000004</v>
      </c>
    </row>
    <row r="25" spans="1:3" x14ac:dyDescent="0.35">
      <c r="A25" s="10" t="s">
        <v>350</v>
      </c>
      <c r="B25" s="17">
        <f>AVERAGEIF(Data!M2:M301,"YES",Data!K2:K301)</f>
        <v>6.7272727272727275</v>
      </c>
      <c r="C25" s="12">
        <v>6.7272727200000002</v>
      </c>
    </row>
    <row r="26" spans="1:3" x14ac:dyDescent="0.35">
      <c r="A26" s="10" t="s">
        <v>351</v>
      </c>
      <c r="B26" s="17">
        <f>AVERAGEIF(Data!M2:M301,"YES",Data!L2:L301)</f>
        <v>18.681818181818183</v>
      </c>
      <c r="C26" s="12">
        <v>18.68181818</v>
      </c>
    </row>
    <row r="27" spans="1:3" x14ac:dyDescent="0.35">
      <c r="A27" s="10" t="s">
        <v>355</v>
      </c>
      <c r="B27" s="10">
        <f>AVERAGEIF(Data!J2:J301,"NO",Data!G2:G301)</f>
        <v>75941.798941798945</v>
      </c>
      <c r="C27" s="14">
        <v>75941.798939999993</v>
      </c>
    </row>
    <row r="28" spans="1:3" x14ac:dyDescent="0.35">
      <c r="A28" s="10" t="s">
        <v>356</v>
      </c>
      <c r="B28" s="10">
        <f>AVERAGEIF(Data!J2:J301,"NO",Data!H2:H301)</f>
        <v>3.3227513227513228</v>
      </c>
      <c r="C28" s="12">
        <v>3.3227513229999999</v>
      </c>
    </row>
    <row r="29" spans="1:3" x14ac:dyDescent="0.35">
      <c r="A29" s="10" t="s">
        <v>357</v>
      </c>
      <c r="B29" s="10">
        <f>AVERAGEIF(Data!J2:J301,"YES",Data!I2:I301)</f>
        <v>3.6126126126126126</v>
      </c>
      <c r="C29" s="12">
        <v>3.612612613</v>
      </c>
    </row>
    <row r="30" spans="1:3" x14ac:dyDescent="0.35">
      <c r="A30" s="10" t="s">
        <v>358</v>
      </c>
      <c r="B30" s="10">
        <f>AVERAGEIF(Data!J2:J301,"NO",Data!I2:I301)</f>
        <v>3.5343915343915344</v>
      </c>
      <c r="C30" s="12">
        <v>3.5343915340000001</v>
      </c>
    </row>
    <row r="31" spans="1:3" x14ac:dyDescent="0.35">
      <c r="A31" s="10" t="s">
        <v>359</v>
      </c>
      <c r="B31" s="10">
        <f>AVERAGEIF(Data!J2:J301,"YES",Data!K2:K301)</f>
        <v>7.0270270270270272</v>
      </c>
      <c r="C31" s="12">
        <v>7.0270270269999999</v>
      </c>
    </row>
    <row r="32" spans="1:3" x14ac:dyDescent="0.35">
      <c r="A32" s="10" t="s">
        <v>360</v>
      </c>
      <c r="B32" s="10">
        <f>AVERAGEIF(Data!J2:J301,"NO",Data!K2:K301)</f>
        <v>6.0423280423280428</v>
      </c>
      <c r="C32" s="12">
        <v>6.0423280420000003</v>
      </c>
    </row>
    <row r="33" spans="1:3" x14ac:dyDescent="0.35">
      <c r="A33" s="10" t="s">
        <v>361</v>
      </c>
      <c r="B33" s="10">
        <f>AVERAGEIF(Data!J2:J301,"YES",Data!L2:L301)</f>
        <v>24.531531531531531</v>
      </c>
      <c r="C33" s="12">
        <v>24.531531529999999</v>
      </c>
    </row>
    <row r="34" spans="1:3" x14ac:dyDescent="0.35">
      <c r="A34" s="10" t="s">
        <v>362</v>
      </c>
      <c r="B34" s="10">
        <f>AVERAGEIF(Data!J2:J301,"NO",Data!L2:L301)</f>
        <v>25.142857142857142</v>
      </c>
      <c r="C34" s="12">
        <v>25.14285714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6434-57AF-46EE-B9D7-A40ACA231A60}">
  <dimension ref="A1:K20"/>
  <sheetViews>
    <sheetView workbookViewId="0">
      <selection activeCell="H1" sqref="H1"/>
    </sheetView>
  </sheetViews>
  <sheetFormatPr defaultRowHeight="14.5" x14ac:dyDescent="0.35"/>
  <cols>
    <col min="1" max="1" width="15.453125" bestFit="1" customWidth="1"/>
    <col min="2" max="2" width="20.1796875" bestFit="1" customWidth="1"/>
    <col min="3" max="3" width="3.90625" bestFit="1" customWidth="1"/>
    <col min="4" max="4" width="15.453125" bestFit="1" customWidth="1"/>
    <col min="5" max="5" width="23" customWidth="1"/>
    <col min="6" max="6" width="20.1796875" customWidth="1"/>
    <col min="7" max="7" width="18.54296875" bestFit="1" customWidth="1"/>
    <col min="8" max="8" width="29.90625" customWidth="1"/>
    <col min="9" max="9" width="13.81640625" customWidth="1"/>
  </cols>
  <sheetData>
    <row r="1" spans="1:11" x14ac:dyDescent="0.35">
      <c r="A1" s="20" t="s">
        <v>363</v>
      </c>
      <c r="B1" s="10" t="s">
        <v>364</v>
      </c>
      <c r="C1" s="19"/>
      <c r="D1" s="20" t="s">
        <v>363</v>
      </c>
      <c r="E1" s="10" t="s">
        <v>365</v>
      </c>
      <c r="F1" s="19"/>
      <c r="G1" s="20" t="s">
        <v>363</v>
      </c>
      <c r="H1" s="10" t="s">
        <v>366</v>
      </c>
      <c r="I1" s="10"/>
      <c r="J1" s="18"/>
      <c r="K1" s="18"/>
    </row>
    <row r="2" spans="1:11" x14ac:dyDescent="0.35">
      <c r="A2" s="10" t="s">
        <v>27</v>
      </c>
      <c r="B2" s="13">
        <v>42</v>
      </c>
      <c r="C2" s="19"/>
      <c r="D2" s="10" t="s">
        <v>27</v>
      </c>
      <c r="E2" s="14">
        <v>75076.190476190473</v>
      </c>
      <c r="F2" s="19"/>
      <c r="G2" s="10" t="s">
        <v>27</v>
      </c>
      <c r="H2" s="12">
        <v>3.1190476190476191</v>
      </c>
      <c r="I2" s="10"/>
      <c r="J2" s="18"/>
      <c r="K2" s="18"/>
    </row>
    <row r="3" spans="1:11" x14ac:dyDescent="0.35">
      <c r="A3" s="10" t="s">
        <v>30</v>
      </c>
      <c r="B3" s="13">
        <v>41</v>
      </c>
      <c r="C3" s="19"/>
      <c r="D3" s="10" t="s">
        <v>30</v>
      </c>
      <c r="E3" s="14">
        <v>75465.85365853658</v>
      </c>
      <c r="F3" s="19"/>
      <c r="G3" s="10" t="s">
        <v>30</v>
      </c>
      <c r="H3" s="12">
        <v>3.3414634146341462</v>
      </c>
      <c r="I3" s="10"/>
      <c r="J3" s="18"/>
      <c r="K3" s="18"/>
    </row>
    <row r="4" spans="1:11" x14ac:dyDescent="0.35">
      <c r="A4" s="10" t="s">
        <v>15</v>
      </c>
      <c r="B4" s="13">
        <v>52</v>
      </c>
      <c r="C4" s="19"/>
      <c r="D4" s="10" t="s">
        <v>15</v>
      </c>
      <c r="E4" s="14">
        <v>81996.153846153844</v>
      </c>
      <c r="F4" s="19"/>
      <c r="G4" s="10" t="s">
        <v>15</v>
      </c>
      <c r="H4" s="12">
        <v>3.2884615384615383</v>
      </c>
      <c r="I4" s="10"/>
      <c r="J4" s="18"/>
      <c r="K4" s="18"/>
    </row>
    <row r="5" spans="1:11" x14ac:dyDescent="0.35">
      <c r="A5" s="10" t="s">
        <v>23</v>
      </c>
      <c r="B5" s="13">
        <v>33</v>
      </c>
      <c r="C5" s="19"/>
      <c r="D5" s="10" t="s">
        <v>23</v>
      </c>
      <c r="E5" s="14">
        <v>81512.121212121216</v>
      </c>
      <c r="F5" s="19"/>
      <c r="G5" s="10" t="s">
        <v>23</v>
      </c>
      <c r="H5" s="12">
        <v>3.4545454545454546</v>
      </c>
      <c r="I5" s="10"/>
      <c r="J5" s="18"/>
      <c r="K5" s="18"/>
    </row>
    <row r="6" spans="1:11" x14ac:dyDescent="0.35">
      <c r="A6" s="10" t="s">
        <v>20</v>
      </c>
      <c r="B6" s="13">
        <v>75</v>
      </c>
      <c r="C6" s="19"/>
      <c r="D6" s="10" t="s">
        <v>20</v>
      </c>
      <c r="E6" s="14">
        <v>73781.333333333328</v>
      </c>
      <c r="F6" s="19"/>
      <c r="G6" s="10" t="s">
        <v>20</v>
      </c>
      <c r="H6" s="12">
        <v>3.2133333333333334</v>
      </c>
      <c r="I6" s="10"/>
      <c r="J6" s="18"/>
      <c r="K6" s="18"/>
    </row>
    <row r="7" spans="1:11" x14ac:dyDescent="0.35">
      <c r="A7" s="10" t="s">
        <v>25</v>
      </c>
      <c r="B7" s="13">
        <v>57</v>
      </c>
      <c r="C7" s="19"/>
      <c r="D7" s="10" t="s">
        <v>25</v>
      </c>
      <c r="E7" s="14">
        <v>83184.210526315786</v>
      </c>
      <c r="F7" s="19"/>
      <c r="G7" s="10" t="s">
        <v>25</v>
      </c>
      <c r="H7" s="12">
        <v>3.4035087719298245</v>
      </c>
      <c r="I7" s="10"/>
      <c r="J7" s="18"/>
      <c r="K7" s="18"/>
    </row>
    <row r="8" spans="1:11" x14ac:dyDescent="0.35">
      <c r="C8" s="19"/>
      <c r="F8" s="19"/>
      <c r="I8" s="10"/>
      <c r="J8" s="18"/>
      <c r="K8" s="18"/>
    </row>
    <row r="9" spans="1:11" x14ac:dyDescent="0.35">
      <c r="A9" s="19"/>
      <c r="B9" s="19"/>
      <c r="C9" s="19"/>
      <c r="D9" s="19"/>
      <c r="E9" s="19"/>
      <c r="F9" s="19"/>
      <c r="G9" s="19"/>
      <c r="H9" s="19"/>
      <c r="I9" s="19"/>
    </row>
    <row r="10" spans="1:11" x14ac:dyDescent="0.35">
      <c r="A10" s="19"/>
      <c r="B10" s="19"/>
      <c r="C10" s="19"/>
      <c r="D10" s="19"/>
      <c r="E10" s="19"/>
      <c r="F10" s="19"/>
      <c r="G10" s="19"/>
      <c r="H10" s="19"/>
      <c r="I10" s="19"/>
    </row>
    <row r="11" spans="1:11" x14ac:dyDescent="0.35">
      <c r="A11" s="19"/>
      <c r="B11" s="19"/>
      <c r="C11" s="19"/>
      <c r="D11" s="19"/>
      <c r="E11" s="19"/>
      <c r="F11" s="19"/>
      <c r="G11" s="19"/>
      <c r="H11" s="19"/>
      <c r="I11" s="19"/>
    </row>
    <row r="12" spans="1:11" x14ac:dyDescent="0.35">
      <c r="A12" s="20" t="s">
        <v>367</v>
      </c>
      <c r="B12" s="20" t="s">
        <v>368</v>
      </c>
      <c r="C12" s="10"/>
      <c r="E12" s="19"/>
      <c r="F12" s="20" t="s">
        <v>364</v>
      </c>
      <c r="G12" s="20" t="s">
        <v>368</v>
      </c>
      <c r="H12" s="10"/>
    </row>
    <row r="13" spans="1:11" x14ac:dyDescent="0.35">
      <c r="A13" s="20" t="s">
        <v>363</v>
      </c>
      <c r="B13" s="10" t="s">
        <v>17</v>
      </c>
      <c r="C13" s="10" t="s">
        <v>32</v>
      </c>
      <c r="E13" s="19"/>
      <c r="F13" s="20" t="s">
        <v>363</v>
      </c>
      <c r="G13" s="10" t="s">
        <v>17</v>
      </c>
      <c r="H13" s="10" t="s">
        <v>32</v>
      </c>
    </row>
    <row r="14" spans="1:11" x14ac:dyDescent="0.35">
      <c r="A14" s="10" t="s">
        <v>27</v>
      </c>
      <c r="B14" s="13">
        <v>36</v>
      </c>
      <c r="C14" s="13">
        <v>6</v>
      </c>
      <c r="E14" s="19"/>
      <c r="F14" s="10" t="s">
        <v>17</v>
      </c>
      <c r="G14" s="13">
        <v>178</v>
      </c>
      <c r="H14" s="13">
        <v>11</v>
      </c>
    </row>
    <row r="15" spans="1:11" x14ac:dyDescent="0.35">
      <c r="A15" s="10" t="s">
        <v>30</v>
      </c>
      <c r="B15" s="13">
        <v>39</v>
      </c>
      <c r="C15" s="13">
        <v>2</v>
      </c>
      <c r="E15" s="19"/>
      <c r="F15" s="10" t="s">
        <v>32</v>
      </c>
      <c r="G15" s="13">
        <v>100</v>
      </c>
      <c r="H15" s="13">
        <v>11</v>
      </c>
    </row>
    <row r="16" spans="1:11" x14ac:dyDescent="0.35">
      <c r="A16" s="10" t="s">
        <v>15</v>
      </c>
      <c r="B16" s="13">
        <v>49</v>
      </c>
      <c r="C16" s="13">
        <v>3</v>
      </c>
      <c r="E16" s="19"/>
    </row>
    <row r="17" spans="1:9" x14ac:dyDescent="0.35">
      <c r="A17" s="10" t="s">
        <v>23</v>
      </c>
      <c r="B17" s="13">
        <v>29</v>
      </c>
      <c r="C17" s="13">
        <v>4</v>
      </c>
      <c r="E17" s="19"/>
      <c r="F17" s="19"/>
      <c r="G17" s="19"/>
      <c r="H17" s="19"/>
      <c r="I17" s="19"/>
    </row>
    <row r="18" spans="1:9" x14ac:dyDescent="0.35">
      <c r="A18" s="10" t="s">
        <v>20</v>
      </c>
      <c r="B18" s="13">
        <v>71</v>
      </c>
      <c r="C18" s="13">
        <v>4</v>
      </c>
      <c r="E18" s="19"/>
      <c r="F18" s="19"/>
      <c r="G18" s="19"/>
      <c r="H18" s="19"/>
      <c r="I18" s="19"/>
    </row>
    <row r="19" spans="1:9" x14ac:dyDescent="0.35">
      <c r="A19" s="10" t="s">
        <v>25</v>
      </c>
      <c r="B19" s="13">
        <v>54</v>
      </c>
      <c r="C19" s="13">
        <v>3</v>
      </c>
      <c r="E19" s="19"/>
      <c r="F19" s="19"/>
      <c r="G19" s="19"/>
      <c r="H19" s="19"/>
      <c r="I19" s="19"/>
    </row>
    <row r="20" spans="1:9" x14ac:dyDescent="0.35">
      <c r="E20" s="19"/>
      <c r="F20" s="19"/>
      <c r="G20" s="19"/>
      <c r="H20" s="19"/>
      <c r="I20"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34A5-7688-4574-8E74-D2B112637E31}">
  <dimension ref="A1:B8"/>
  <sheetViews>
    <sheetView workbookViewId="0">
      <selection activeCell="B9" sqref="B9"/>
    </sheetView>
  </sheetViews>
  <sheetFormatPr defaultRowHeight="14.5" x14ac:dyDescent="0.35"/>
  <cols>
    <col min="1" max="1" width="38.54296875" customWidth="1"/>
    <col min="2" max="2" width="11.08984375" bestFit="1" customWidth="1"/>
  </cols>
  <sheetData>
    <row r="1" spans="1:2" x14ac:dyDescent="0.35">
      <c r="A1" s="19" t="s">
        <v>369</v>
      </c>
      <c r="B1" s="10"/>
    </row>
    <row r="2" spans="1:2" x14ac:dyDescent="0.35">
      <c r="A2" s="19" t="s">
        <v>375</v>
      </c>
      <c r="B2" s="10"/>
    </row>
    <row r="3" spans="1:2" x14ac:dyDescent="0.35">
      <c r="A3" s="19" t="s">
        <v>370</v>
      </c>
      <c r="B3" s="10">
        <f>COUNTA(Data!A2:A301)</f>
        <v>300</v>
      </c>
    </row>
    <row r="4" spans="1:2" x14ac:dyDescent="0.35">
      <c r="A4" s="19" t="s">
        <v>371</v>
      </c>
      <c r="B4" s="16">
        <f>COUNTIF(Data!M2:M301,"YES")/B3</f>
        <v>7.3333333333333334E-2</v>
      </c>
    </row>
    <row r="5" spans="1:2" x14ac:dyDescent="0.35">
      <c r="A5" s="19" t="s">
        <v>341</v>
      </c>
      <c r="B5" s="16">
        <f>COUNTIF(Data!J2:J301,"YES")/B3</f>
        <v>0.37</v>
      </c>
    </row>
    <row r="6" spans="1:2" x14ac:dyDescent="0.35">
      <c r="A6" s="19" t="s">
        <v>372</v>
      </c>
      <c r="B6" s="14">
        <f>AVERAGE(Data!G2:G301)</f>
        <v>78253.666666666672</v>
      </c>
    </row>
    <row r="7" spans="1:2" x14ac:dyDescent="0.35">
      <c r="A7" s="19" t="s">
        <v>373</v>
      </c>
      <c r="B7" s="16">
        <f>COUNTIF(Data!H2:H301,"&lt;=2")/B3</f>
        <v>0.24333333333333335</v>
      </c>
    </row>
    <row r="8" spans="1:2" x14ac:dyDescent="0.35">
      <c r="A8" s="19" t="s">
        <v>374</v>
      </c>
      <c r="B8" s="12">
        <f>AVERAGE(Data!H2:H301)</f>
        <v>3.2933333333333334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12BD-24F3-4947-B0F3-222D89AE5D90}">
  <dimension ref="A1:C26"/>
  <sheetViews>
    <sheetView tabSelected="1" workbookViewId="0">
      <selection activeCell="B12" sqref="B12"/>
    </sheetView>
  </sheetViews>
  <sheetFormatPr defaultRowHeight="14.5" x14ac:dyDescent="0.35"/>
  <cols>
    <col min="1" max="1" width="26.6328125" customWidth="1"/>
    <col min="2" max="2" width="65.6328125" customWidth="1"/>
    <col min="3" max="3" width="70.6328125" customWidth="1"/>
  </cols>
  <sheetData>
    <row r="1" spans="1:3" x14ac:dyDescent="0.35">
      <c r="A1" s="11" t="s">
        <v>376</v>
      </c>
      <c r="B1" s="11" t="s">
        <v>377</v>
      </c>
      <c r="C1" s="11" t="s">
        <v>378</v>
      </c>
    </row>
    <row r="2" spans="1:3" x14ac:dyDescent="0.35">
      <c r="A2" s="10" t="s">
        <v>379</v>
      </c>
      <c r="B2" s="21" t="s">
        <v>409</v>
      </c>
      <c r="C2" s="21" t="s">
        <v>386</v>
      </c>
    </row>
    <row r="3" spans="1:3" x14ac:dyDescent="0.35">
      <c r="A3" s="10" t="s">
        <v>9</v>
      </c>
      <c r="B3" s="21" t="s">
        <v>387</v>
      </c>
      <c r="C3" s="21" t="s">
        <v>388</v>
      </c>
    </row>
    <row r="4" spans="1:3" ht="28" x14ac:dyDescent="0.35">
      <c r="A4" s="10" t="s">
        <v>380</v>
      </c>
      <c r="B4" s="21" t="s">
        <v>389</v>
      </c>
      <c r="C4" s="21" t="s">
        <v>390</v>
      </c>
    </row>
    <row r="5" spans="1:3" ht="28" x14ac:dyDescent="0.35">
      <c r="A5" s="10" t="s">
        <v>381</v>
      </c>
      <c r="B5" s="21" t="s">
        <v>391</v>
      </c>
      <c r="C5" s="21" t="s">
        <v>392</v>
      </c>
    </row>
    <row r="6" spans="1:3" ht="28" x14ac:dyDescent="0.35">
      <c r="A6" s="10" t="s">
        <v>382</v>
      </c>
      <c r="B6" s="21" t="s">
        <v>393</v>
      </c>
      <c r="C6" s="21" t="s">
        <v>394</v>
      </c>
    </row>
    <row r="7" spans="1:3" ht="28" x14ac:dyDescent="0.35">
      <c r="A7" s="10" t="s">
        <v>383</v>
      </c>
      <c r="B7" s="21" t="s">
        <v>395</v>
      </c>
      <c r="C7" s="21" t="s">
        <v>396</v>
      </c>
    </row>
    <row r="8" spans="1:3" ht="28" x14ac:dyDescent="0.35">
      <c r="A8" s="10" t="s">
        <v>384</v>
      </c>
      <c r="B8" s="21" t="s">
        <v>397</v>
      </c>
      <c r="C8" s="21" t="s">
        <v>398</v>
      </c>
    </row>
    <row r="9" spans="1:3" ht="28" x14ac:dyDescent="0.35">
      <c r="A9" s="10" t="s">
        <v>385</v>
      </c>
      <c r="B9" s="21" t="s">
        <v>399</v>
      </c>
      <c r="C9" s="21" t="s">
        <v>400</v>
      </c>
    </row>
    <row r="10" spans="1:3" ht="28" x14ac:dyDescent="0.35">
      <c r="A10" s="35" t="s">
        <v>403</v>
      </c>
      <c r="B10" s="36" t="s">
        <v>410</v>
      </c>
      <c r="C10" s="36" t="s">
        <v>404</v>
      </c>
    </row>
    <row r="11" spans="1:3" ht="28" x14ac:dyDescent="0.35">
      <c r="A11" s="35" t="s">
        <v>405</v>
      </c>
      <c r="B11" s="36" t="s">
        <v>411</v>
      </c>
      <c r="C11" s="36" t="s">
        <v>406</v>
      </c>
    </row>
    <row r="12" spans="1:3" ht="42.5" x14ac:dyDescent="0.35">
      <c r="A12" s="35" t="s">
        <v>407</v>
      </c>
      <c r="B12" s="21" t="s">
        <v>412</v>
      </c>
      <c r="C12" s="21" t="s">
        <v>408</v>
      </c>
    </row>
    <row r="13" spans="1:3" x14ac:dyDescent="0.35">
      <c r="A13" s="19"/>
      <c r="B13" s="19"/>
      <c r="C13" s="19"/>
    </row>
    <row r="14" spans="1:3" x14ac:dyDescent="0.35">
      <c r="A14" s="19"/>
      <c r="B14" s="19"/>
      <c r="C14" s="19"/>
    </row>
    <row r="15" spans="1:3" x14ac:dyDescent="0.35">
      <c r="A15" s="19"/>
      <c r="B15" s="19"/>
      <c r="C15" s="19"/>
    </row>
    <row r="16" spans="1:3" x14ac:dyDescent="0.35">
      <c r="A16" s="19"/>
      <c r="B16" s="19"/>
      <c r="C16" s="19"/>
    </row>
    <row r="17" spans="1:3" x14ac:dyDescent="0.35">
      <c r="A17" s="19"/>
      <c r="B17" s="19"/>
      <c r="C17" s="19"/>
    </row>
    <row r="18" spans="1:3" x14ac:dyDescent="0.35">
      <c r="A18" s="19"/>
      <c r="B18" s="19"/>
      <c r="C18" s="19"/>
    </row>
    <row r="19" spans="1:3" x14ac:dyDescent="0.35">
      <c r="A19" s="19"/>
      <c r="B19" s="19"/>
      <c r="C19" s="19"/>
    </row>
    <row r="20" spans="1:3" x14ac:dyDescent="0.35">
      <c r="A20" s="19"/>
      <c r="B20" s="19"/>
      <c r="C20" s="19"/>
    </row>
    <row r="21" spans="1:3" x14ac:dyDescent="0.35">
      <c r="A21" s="19"/>
      <c r="B21" s="19"/>
      <c r="C21" s="19"/>
    </row>
    <row r="22" spans="1:3" x14ac:dyDescent="0.35">
      <c r="A22" s="19"/>
      <c r="B22" s="19"/>
      <c r="C22" s="19"/>
    </row>
    <row r="23" spans="1:3" x14ac:dyDescent="0.35">
      <c r="A23" s="19"/>
      <c r="B23" s="19"/>
      <c r="C23" s="19"/>
    </row>
    <row r="24" spans="1:3" x14ac:dyDescent="0.35">
      <c r="A24" s="19"/>
      <c r="B24" s="19"/>
      <c r="C24" s="19"/>
    </row>
    <row r="25" spans="1:3" x14ac:dyDescent="0.35">
      <c r="A25" s="19"/>
      <c r="B25" s="19"/>
      <c r="C25" s="19"/>
    </row>
    <row r="26" spans="1:3" x14ac:dyDescent="0.35">
      <c r="A26" s="19"/>
      <c r="B26" s="19"/>
      <c r="C26" s="1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C63D-0E88-406B-8906-19C205F1D83E}">
  <sheetPr>
    <pageSetUpPr fitToPage="1"/>
  </sheetPr>
  <dimension ref="A1:K6"/>
  <sheetViews>
    <sheetView showGridLines="0" workbookViewId="0">
      <selection activeCell="A5" sqref="A5"/>
    </sheetView>
  </sheetViews>
  <sheetFormatPr defaultRowHeight="14.5" x14ac:dyDescent="0.35"/>
  <cols>
    <col min="1" max="1" width="31.36328125" customWidth="1"/>
    <col min="2" max="2" width="35.81640625" customWidth="1"/>
    <col min="4" max="4" width="12.81640625" customWidth="1"/>
    <col min="7" max="7" width="13.54296875" customWidth="1"/>
    <col min="10" max="10" width="20.26953125" customWidth="1"/>
  </cols>
  <sheetData>
    <row r="1" spans="1:11" ht="22.5" x14ac:dyDescent="0.45">
      <c r="A1" s="37" t="s">
        <v>401</v>
      </c>
      <c r="B1" s="38"/>
      <c r="C1" s="38"/>
      <c r="D1" s="38"/>
      <c r="E1" s="38"/>
      <c r="F1" s="38"/>
      <c r="G1" s="38"/>
      <c r="H1" s="38"/>
      <c r="I1" s="38"/>
      <c r="J1" s="38"/>
      <c r="K1" s="38"/>
    </row>
    <row r="2" spans="1:11" ht="15.5" x14ac:dyDescent="0.35">
      <c r="A2" s="39" t="s">
        <v>402</v>
      </c>
      <c r="B2" s="40"/>
      <c r="C2" s="40"/>
      <c r="D2" s="40"/>
      <c r="E2" s="40"/>
      <c r="F2" s="40"/>
      <c r="G2" s="40"/>
      <c r="H2" s="40"/>
      <c r="I2" s="40"/>
      <c r="J2" s="40"/>
      <c r="K2" s="40"/>
    </row>
    <row r="4" spans="1:11" x14ac:dyDescent="0.35">
      <c r="A4" s="22" t="s">
        <v>370</v>
      </c>
      <c r="B4" s="23"/>
      <c r="D4" s="24" t="s">
        <v>371</v>
      </c>
      <c r="E4" s="23"/>
      <c r="G4" s="24" t="s">
        <v>341</v>
      </c>
      <c r="H4" s="23"/>
      <c r="J4" s="24" t="s">
        <v>372</v>
      </c>
      <c r="K4" s="23"/>
    </row>
    <row r="5" spans="1:11" ht="20.5" x14ac:dyDescent="0.45">
      <c r="A5" s="27">
        <f>KPI!B3</f>
        <v>300</v>
      </c>
      <c r="B5" s="23"/>
      <c r="D5" s="25">
        <f>KPI!B4</f>
        <v>7.3333333333333334E-2</v>
      </c>
      <c r="E5" s="23"/>
      <c r="G5" s="25">
        <f>KPI!B5</f>
        <v>0.37</v>
      </c>
      <c r="H5" s="23"/>
      <c r="J5" s="26">
        <f>KPI!B6</f>
        <v>78253.666666666672</v>
      </c>
      <c r="K5" s="23"/>
    </row>
    <row r="6" spans="1:11" x14ac:dyDescent="0.35">
      <c r="A6" s="23"/>
      <c r="B6" s="23"/>
      <c r="D6" s="23"/>
      <c r="E6" s="23"/>
      <c r="G6" s="23"/>
      <c r="H6" s="23"/>
      <c r="J6" s="23"/>
      <c r="K6" s="23"/>
    </row>
  </sheetData>
  <mergeCells count="2">
    <mergeCell ref="A1:K1"/>
    <mergeCell ref="A2:K2"/>
  </mergeCells>
  <pageMargins left="0.7" right="0.7" top="0.75" bottom="0.75" header="0.3" footer="0.3"/>
  <pageSetup scale="51"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HR Analysis</vt:lpstr>
      <vt:lpstr>Pivot</vt:lpstr>
      <vt:lpstr>KPI</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nexusdigital</cp:lastModifiedBy>
  <cp:lastPrinted>2026-10-10T15:55:41Z</cp:lastPrinted>
  <dcterms:created xsi:type="dcterms:W3CDTF">2026-10-03T11:47:02Z</dcterms:created>
  <dcterms:modified xsi:type="dcterms:W3CDTF">2026-10-11T07:44:36Z</dcterms:modified>
</cp:coreProperties>
</file>